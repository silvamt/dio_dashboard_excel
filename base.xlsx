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rcussilva/Downloads/"/>
    </mc:Choice>
  </mc:AlternateContent>
  <xr:revisionPtr revIDLastSave="0" documentId="13_ncr:1_{C59DC071-2EB6-DC48-80B0-252EA5434CD3}" xr6:coauthVersionLast="47" xr6:coauthVersionMax="47" xr10:uidLastSave="{00000000-0000-0000-0000-000000000000}"/>
  <bookViews>
    <workbookView xWindow="0" yWindow="660" windowWidth="30240" windowHeight="1898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Auto_Renewal">#N/A</definedName>
    <definedName name="SegmentaçãodeDados_EA_Play_Season_Pass">#N/A</definedName>
    <definedName name="SegmentaçãodeDados_Minecraft_Season_Pass">#N/A</definedName>
    <definedName name="SegmentaçãodeDados_Plan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3" i="3"/>
  <c r="H5" i="4" l="1"/>
  <c r="I5" i="4" s="1"/>
  <c r="H6" i="4"/>
  <c r="I6" i="4" l="1"/>
</calcChain>
</file>

<file path=xl/sharedStrings.xml><?xml version="1.0" encoding="utf-8"?>
<sst xmlns="http://schemas.openxmlformats.org/spreadsheetml/2006/main" count="2029" uniqueCount="330">
  <si>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</si>
  <si>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</si>
  <si>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</si>
  <si>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</si>
  <si>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</si>
  <si>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</si>
  <si>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</si>
  <si>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</si>
  <si>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</si>
  <si>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</si>
  <si>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</si>
  <si>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</si>
  <si>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</si>
  <si>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</si>
  <si>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</si>
  <si>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</si>
  <si>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</si>
  <si>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</si>
  <si>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</si>
  <si>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</si>
  <si>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</si>
  <si>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</si>
  <si>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</si>
  <si>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</si>
  <si>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</si>
  <si>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</si>
  <si>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</si>
  <si>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</si>
  <si>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</si>
  <si>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</si>
  <si>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</si>
  <si>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</si>
  <si>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</si>
  <si>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</si>
  <si>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</si>
  <si>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</si>
  <si>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</si>
  <si>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</si>
  <si>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</si>
  <si>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</si>
  <si>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</si>
  <si>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</si>
  <si>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</si>
  <si>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</si>
  <si>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</si>
  <si>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</si>
  <si>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</si>
  <si>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</si>
  <si>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</si>
  <si>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</si>
  <si>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</si>
  <si>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</si>
  <si>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</si>
  <si>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</si>
  <si>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</si>
  <si>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</si>
  <si>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</si>
  <si>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</si>
  <si>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</si>
  <si>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</si>
  <si>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</si>
  <si>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</si>
  <si>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</si>
  <si>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</si>
  <si>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</si>
  <si>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</si>
  <si>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</si>
  <si>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</si>
  <si>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</si>
  <si>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</si>
  <si>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</si>
  <si>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</si>
  <si>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</si>
  <si>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</si>
  <si>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</si>
  <si>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</si>
  <si>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</si>
  <si>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</si>
  <si>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</si>
  <si>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</si>
  <si>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</si>
  <si>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</si>
  <si>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</si>
  <si>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</si>
  <si>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</si>
  <si>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</si>
  <si>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</si>
  <si>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</si>
  <si>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</si>
  <si>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</si>
  <si>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</si>
  <si>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</si>
  <si>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</si>
  <si>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</si>
  <si>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</si>
  <si>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</si>
  <si>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</si>
  <si>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</si>
  <si>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</si>
  <si>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</si>
  <si>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</si>
  <si>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</si>
  <si>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</si>
  <si>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</si>
  <si>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</si>
  <si>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</si>
  <si>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</si>
  <si>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</si>
  <si>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</si>
  <si>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</si>
  <si>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</si>
  <si>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</si>
  <si>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</si>
  <si>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</si>
  <si>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</si>
  <si>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</si>
  <si>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</si>
  <si>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</si>
  <si>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</si>
  <si>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</si>
  <si>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</si>
  <si>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</si>
  <si>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</si>
  <si>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</si>
  <si>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</si>
  <si>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</si>
  <si>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</si>
  <si>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</si>
  <si>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</si>
  <si>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</si>
  <si>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</si>
  <si>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</si>
  <si>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</si>
  <si>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</si>
  <si>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</si>
  <si>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</si>
  <si>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</si>
  <si>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</si>
  <si>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</si>
  <si>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</si>
  <si>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</si>
  <si>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</si>
  <si>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</si>
  <si>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</si>
  <si>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</si>
  <si>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</si>
  <si>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</si>
  <si>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</si>
  <si>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</si>
  <si>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</si>
  <si>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</si>
  <si>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</si>
  <si>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</si>
  <si>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</si>
  <si>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</si>
  <si>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</si>
  <si>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</si>
  <si>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</si>
  <si>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</si>
  <si>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</si>
  <si>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</si>
  <si>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</si>
  <si>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</si>
  <si>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</si>
  <si>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</si>
  <si>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</si>
  <si>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</si>
  <si>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</si>
  <si>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</si>
  <si>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</si>
  <si>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</si>
  <si>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</si>
  <si>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</si>
  <si>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</si>
  <si>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</si>
  <si>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</si>
  <si>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</si>
  <si>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</si>
  <si>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</si>
  <si>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</si>
  <si>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</si>
  <si>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</si>
  <si>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</si>
  <si>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</si>
  <si>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</si>
  <si>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</si>
  <si>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</si>
  <si>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</si>
  <si>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</si>
  <si>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</si>
  <si>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</si>
  <si>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</si>
  <si>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</si>
  <si>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</si>
  <si>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</si>
  <si>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</si>
  <si>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</si>
  <si>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</si>
  <si>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</si>
  <si>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</si>
  <si>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</si>
  <si>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</si>
  <si>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</si>
  <si>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</si>
  <si>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</si>
  <si>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</si>
  <si>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</si>
  <si>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</si>
  <si>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</si>
  <si>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</si>
  <si>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</si>
  <si>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</si>
  <si>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</si>
  <si>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</si>
  <si>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</si>
  <si>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</si>
  <si>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</si>
  <si>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</si>
  <si>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</si>
  <si>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</si>
  <si>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</si>
  <si>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</si>
  <si>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</si>
  <si>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</si>
  <si>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</si>
  <si>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</si>
  <si>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</si>
  <si>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</si>
  <si>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</si>
  <si>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</si>
  <si>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</si>
  <si>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</si>
  <si>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</si>
  <si>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</si>
  <si>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</si>
  <si>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</si>
  <si>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</si>
  <si>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</si>
  <si>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</si>
  <si>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</si>
  <si>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</si>
  <si>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</si>
  <si>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</si>
  <si>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</si>
  <si>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</si>
  <si>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</si>
  <si>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</si>
  <si>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</si>
  <si>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</si>
  <si>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</si>
  <si>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</si>
  <si>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</si>
  <si>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</si>
  <si>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</si>
  <si>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</si>
  <si>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</si>
  <si>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</si>
  <si>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</si>
  <si>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</si>
  <si>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</si>
  <si>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</si>
  <si>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</si>
  <si>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</si>
  <si>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</si>
  <si>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</si>
  <si>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</si>
  <si>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</si>
  <si>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</si>
  <si>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</si>
  <si>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</si>
  <si>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</si>
  <si>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</si>
  <si>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</si>
  <si>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</si>
  <si>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</si>
  <si>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</si>
  <si>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</si>
  <si>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</si>
  <si>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</si>
  <si>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</si>
  <si>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</si>
  <si>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</si>
  <si>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</si>
  <si>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</si>
  <si>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</si>
  <si>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</si>
  <si>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</si>
  <si>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</si>
  <si>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</si>
  <si>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</si>
  <si>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</si>
  <si>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</si>
  <si>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</si>
  <si>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</si>
  <si>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</si>
  <si>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</si>
  <si>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</si>
  <si>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</si>
  <si>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</si>
  <si>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</si>
  <si>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</si>
  <si>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</si>
  <si>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</si>
  <si>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</si>
  <si>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</si>
  <si>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</si>
  <si>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</si>
  <si>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</si>
  <si>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</si>
  <si>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</si>
  <si>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</si>
  <si>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</si>
  <si>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</si>
  <si>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Contagem de Subscriber ID</t>
  </si>
  <si>
    <t>Total usuários</t>
  </si>
  <si>
    <t>Rótulos de Linha</t>
  </si>
  <si>
    <t>Total Geral</t>
  </si>
  <si>
    <t>tipo usuarios</t>
  </si>
  <si>
    <t>renovacao auto</t>
  </si>
  <si>
    <t>ea pass</t>
  </si>
  <si>
    <t>Minercraft pass</t>
  </si>
  <si>
    <t>Soma de Total Value</t>
  </si>
  <si>
    <t>Valor total</t>
  </si>
  <si>
    <t>Total de usuários</t>
  </si>
  <si>
    <t>Valor das assinaturas</t>
  </si>
  <si>
    <t>Tipo de plano</t>
  </si>
  <si>
    <t>Renovação automática</t>
  </si>
  <si>
    <t>Assinatura EA</t>
  </si>
  <si>
    <t>Assinatura Minercraft</t>
  </si>
  <si>
    <t>/usuário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</si>
</sst>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2"/>
      <color rgb="FFFF0000"/>
      <name val="Aptos Narrow"/>
      <family val="2"/>
      <scheme val="minor"/>
    </font>
    <font>
      <sz val="26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9" fontId="6" fillId="0" borderId="0" xfId="3" applyFont="1"/>
    <xf numFmtId="165" fontId="7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C̳álculos!$B$6:$B$9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C̳álculos!$C$6:$C$9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D-5F49-947D-0FA25EDB7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593343"/>
        <c:axId val="1183056767"/>
      </c:barChart>
      <c:catAx>
        <c:axId val="117859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056767"/>
        <c:crosses val="autoZero"/>
        <c:auto val="1"/>
        <c:lblAlgn val="ctr"/>
        <c:lblOffset val="100"/>
        <c:noMultiLvlLbl val="0"/>
      </c:catAx>
      <c:valAx>
        <c:axId val="118305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859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A-6048-AD33-477CAACBC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027839"/>
        <c:axId val="1308029631"/>
      </c:barChart>
      <c:catAx>
        <c:axId val="130802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8029631"/>
        <c:crosses val="autoZero"/>
        <c:auto val="1"/>
        <c:lblAlgn val="ctr"/>
        <c:lblOffset val="100"/>
        <c:noMultiLvlLbl val="0"/>
      </c:catAx>
      <c:valAx>
        <c:axId val="130802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802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C̳álculos!$B$17:$B$19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C̳álculos!$C$17:$C$19</c:f>
              <c:numCache>
                <c:formatCode>General</c:formatCode>
                <c:ptCount val="2"/>
                <c:pt idx="0">
                  <c:v>197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7-8940-8062-491E5483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2745983"/>
        <c:axId val="1312747775"/>
      </c:barChart>
      <c:catAx>
        <c:axId val="131274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747775"/>
        <c:crosses val="autoZero"/>
        <c:auto val="1"/>
        <c:lblAlgn val="ctr"/>
        <c:lblOffset val="100"/>
        <c:noMultiLvlLbl val="0"/>
      </c:catAx>
      <c:valAx>
        <c:axId val="131274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274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C̳álculos!$B$22:$B$24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C̳álculos!$C$22:$C$24</c:f>
              <c:numCache>
                <c:formatCode>General</c:formatCode>
                <c:ptCount val="2"/>
                <c:pt idx="0">
                  <c:v>101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8-BF4D-BF32-892BE8C78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3059455"/>
        <c:axId val="1178223487"/>
      </c:barChart>
      <c:catAx>
        <c:axId val="118305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8223487"/>
        <c:crosses val="autoZero"/>
        <c:auto val="1"/>
        <c:lblAlgn val="ctr"/>
        <c:lblOffset val="100"/>
        <c:noMultiLvlLbl val="0"/>
      </c:catAx>
      <c:valAx>
        <c:axId val="117822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05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20775" y="5435599"/>
          <a:ext cx="17399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457382</xdr:colOff>
      <xdr:row>3</xdr:row>
      <xdr:rowOff>83948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FCA954-B71C-9348-8ECA-49394CD71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286" y="190500"/>
          <a:ext cx="1627597" cy="464948"/>
        </a:xfrm>
        <a:prstGeom prst="rect">
          <a:avLst/>
        </a:prstGeom>
      </xdr:spPr>
    </xdr:pic>
    <xdr:clientData/>
  </xdr:twoCellAnchor>
  <xdr:twoCellAnchor>
    <xdr:from>
      <xdr:col>4</xdr:col>
      <xdr:colOff>127000</xdr:colOff>
      <xdr:row>7</xdr:row>
      <xdr:rowOff>16099</xdr:rowOff>
    </xdr:from>
    <xdr:to>
      <xdr:col>7</xdr:col>
      <xdr:colOff>1723571</xdr:colOff>
      <xdr:row>14</xdr:row>
      <xdr:rowOff>145142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551F8A-318E-2B4B-B511-4972A2EBF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12699</xdr:colOff>
      <xdr:row>8</xdr:row>
      <xdr:rowOff>27213</xdr:rowOff>
    </xdr:from>
    <xdr:to>
      <xdr:col>4</xdr:col>
      <xdr:colOff>79374</xdr:colOff>
      <xdr:row>14</xdr:row>
      <xdr:rowOff>109763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lan">
              <a:extLst>
                <a:ext uri="{FF2B5EF4-FFF2-40B4-BE49-F238E27FC236}">
                  <a16:creationId xmlns:a16="http://schemas.microsoft.com/office/drawing/2014/main" id="{C0169515-D601-D44B-8111-DA5A3C4F4B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270" y="2295070"/>
              <a:ext cx="1908175" cy="1225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33111</xdr:colOff>
      <xdr:row>16</xdr:row>
      <xdr:rowOff>54428</xdr:rowOff>
    </xdr:from>
    <xdr:to>
      <xdr:col>4</xdr:col>
      <xdr:colOff>20411</xdr:colOff>
      <xdr:row>21</xdr:row>
      <xdr:rowOff>73478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uto Renewal">
              <a:extLst>
                <a:ext uri="{FF2B5EF4-FFF2-40B4-BE49-F238E27FC236}">
                  <a16:creationId xmlns:a16="http://schemas.microsoft.com/office/drawing/2014/main" id="{643B6E40-FED2-374E-8976-1BC7EB427D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682" y="4027714"/>
              <a:ext cx="18288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163284</xdr:colOff>
      <xdr:row>16</xdr:row>
      <xdr:rowOff>54428</xdr:rowOff>
    </xdr:from>
    <xdr:to>
      <xdr:col>7</xdr:col>
      <xdr:colOff>1678213</xdr:colOff>
      <xdr:row>21</xdr:row>
      <xdr:rowOff>81642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F58A55-7E8C-C44D-9D7C-65E6ABAC2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8166</xdr:colOff>
      <xdr:row>8</xdr:row>
      <xdr:rowOff>54428</xdr:rowOff>
    </xdr:from>
    <xdr:to>
      <xdr:col>9</xdr:col>
      <xdr:colOff>630466</xdr:colOff>
      <xdr:row>14</xdr:row>
      <xdr:rowOff>17916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A Play Season Pass">
              <a:extLst>
                <a:ext uri="{FF2B5EF4-FFF2-40B4-BE49-F238E27FC236}">
                  <a16:creationId xmlns:a16="http://schemas.microsoft.com/office/drawing/2014/main" id="{710C99F3-1FEB-134E-B6EC-8AF6311DBF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3666" y="2322285"/>
              <a:ext cx="1828800" cy="1106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45356</xdr:colOff>
      <xdr:row>7</xdr:row>
      <xdr:rowOff>72571</xdr:rowOff>
    </xdr:from>
    <xdr:to>
      <xdr:col>12</xdr:col>
      <xdr:colOff>555626</xdr:colOff>
      <xdr:row>14</xdr:row>
      <xdr:rowOff>36286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55806B8-498B-4348-9954-1A0630003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63500</xdr:colOff>
      <xdr:row>16</xdr:row>
      <xdr:rowOff>27215</xdr:rowOff>
    </xdr:from>
    <xdr:to>
      <xdr:col>12</xdr:col>
      <xdr:colOff>644072</xdr:colOff>
      <xdr:row>21</xdr:row>
      <xdr:rowOff>33564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C347908-65E4-6546-B880-B436EAB85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10432</xdr:colOff>
      <xdr:row>16</xdr:row>
      <xdr:rowOff>49666</xdr:rowOff>
    </xdr:from>
    <xdr:to>
      <xdr:col>9</xdr:col>
      <xdr:colOff>632732</xdr:colOff>
      <xdr:row>21</xdr:row>
      <xdr:rowOff>5216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Minecraft Season Pass">
              <a:extLst>
                <a:ext uri="{FF2B5EF4-FFF2-40B4-BE49-F238E27FC236}">
                  <a16:creationId xmlns:a16="http://schemas.microsoft.com/office/drawing/2014/main" id="{4A51DA8E-746C-F847-A83A-9015FDDC62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5932" y="4022952"/>
              <a:ext cx="1828800" cy="90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viewer" refreshedDate="46013.888592939817" createdVersion="8" refreshedVersion="8" minRefreshableVersion="3" recordCount="295" xr:uid="{43F6C2D5-BC45-5A45-B160-2CA23DCFCBD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455444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s v="Monthly"/>
    <x v="0"/>
    <n v="30"/>
    <x v="0"/>
    <n v="20"/>
    <n v="5"/>
    <n v="60"/>
  </r>
  <r>
    <n v="3232"/>
    <s v="Maria Oliveira"/>
    <x v="1"/>
    <d v="2024-01-15T00:00:00"/>
    <x v="1"/>
    <n v="5"/>
    <s v="Annual"/>
    <x v="1"/>
    <s v="-"/>
    <x v="1"/>
    <n v="0"/>
    <n v="0"/>
    <n v="5"/>
  </r>
  <r>
    <n v="3233"/>
    <s v="Lucas Fernandes"/>
    <x v="2"/>
    <d v="2024-02-10T00:00:00"/>
    <x v="0"/>
    <n v="10"/>
    <s v="Quarterly"/>
    <x v="1"/>
    <s v="-"/>
    <x v="0"/>
    <n v="20"/>
    <n v="10"/>
    <n v="20"/>
  </r>
  <r>
    <n v="3234"/>
    <s v="Ana Souza"/>
    <x v="0"/>
    <d v="2024-02-20T00:00:00"/>
    <x v="1"/>
    <n v="15"/>
    <s v="Monthly"/>
    <x v="0"/>
    <n v="30"/>
    <x v="0"/>
    <n v="20"/>
    <n v="3"/>
    <n v="62"/>
  </r>
  <r>
    <n v="3235"/>
    <s v="Pedro Gonçalves"/>
    <x v="1"/>
    <d v="2024-03-05T00:00:00"/>
    <x v="0"/>
    <n v="5"/>
    <s v="Monthly"/>
    <x v="1"/>
    <s v="-"/>
    <x v="1"/>
    <n v="0"/>
    <n v="1"/>
    <n v="4"/>
  </r>
  <r>
    <n v="3236"/>
    <s v="Felipe Costa"/>
    <x v="2"/>
    <d v="2024-03-02T00:00:00"/>
    <x v="1"/>
    <n v="10"/>
    <s v="Monthly"/>
    <x v="1"/>
    <s v="-"/>
    <x v="0"/>
    <n v="20"/>
    <n v="2"/>
    <n v="28"/>
  </r>
  <r>
    <n v="3237"/>
    <s v="Camila Ribeiro"/>
    <x v="0"/>
    <d v="2024-03-03T00:00:00"/>
    <x v="0"/>
    <n v="15"/>
    <s v="Quarterly"/>
    <x v="0"/>
    <n v="30"/>
    <x v="0"/>
    <n v="20"/>
    <n v="10"/>
    <n v="55"/>
  </r>
  <r>
    <n v="3238"/>
    <s v="André Mendes"/>
    <x v="1"/>
    <d v="2024-03-04T00:00:00"/>
    <x v="0"/>
    <n v="5"/>
    <s v="Annual"/>
    <x v="1"/>
    <s v="-"/>
    <x v="1"/>
    <n v="0"/>
    <n v="0"/>
    <n v="5"/>
  </r>
  <r>
    <n v="3239"/>
    <s v="Sofia Almeida"/>
    <x v="0"/>
    <d v="2024-03-05T00:00:00"/>
    <x v="1"/>
    <n v="15"/>
    <s v="Monthly"/>
    <x v="0"/>
    <n v="30"/>
    <x v="0"/>
    <n v="20"/>
    <n v="5"/>
    <n v="60"/>
  </r>
  <r>
    <n v="3240"/>
    <s v="Bruno Martins"/>
    <x v="2"/>
    <d v="2024-03-06T00:00:00"/>
    <x v="0"/>
    <n v="10"/>
    <s v="Quarterly"/>
    <x v="1"/>
    <s v="-"/>
    <x v="0"/>
    <n v="20"/>
    <n v="15"/>
    <n v="15"/>
  </r>
  <r>
    <n v="3241"/>
    <s v="Rita Castro"/>
    <x v="1"/>
    <d v="2024-03-07T00:00:00"/>
    <x v="1"/>
    <n v="5"/>
    <s v="Monthly"/>
    <x v="1"/>
    <s v="-"/>
    <x v="1"/>
    <n v="0"/>
    <n v="1"/>
    <n v="4"/>
  </r>
  <r>
    <n v="3242"/>
    <s v="Marco Túlio"/>
    <x v="0"/>
    <d v="2024-03-08T00:00:00"/>
    <x v="0"/>
    <n v="15"/>
    <s v="Annual"/>
    <x v="0"/>
    <n v="30"/>
    <x v="0"/>
    <n v="20"/>
    <n v="20"/>
    <n v="45"/>
  </r>
  <r>
    <n v="3243"/>
    <s v="Lívia Silveira"/>
    <x v="2"/>
    <d v="2024-03-09T00:00:00"/>
    <x v="1"/>
    <n v="10"/>
    <s v="Monthly"/>
    <x v="1"/>
    <s v="-"/>
    <x v="0"/>
    <n v="20"/>
    <n v="10"/>
    <n v="20"/>
  </r>
  <r>
    <n v="3244"/>
    <s v="Diogo Sousa"/>
    <x v="1"/>
    <d v="2024-03-10T00:00:00"/>
    <x v="0"/>
    <n v="5"/>
    <s v="Quarterly"/>
    <x v="1"/>
    <s v="-"/>
    <x v="1"/>
    <n v="0"/>
    <n v="0"/>
    <n v="5"/>
  </r>
  <r>
    <n v="3245"/>
    <s v="Fernanda Lima"/>
    <x v="0"/>
    <d v="2024-03-11T00:00:00"/>
    <x v="1"/>
    <n v="15"/>
    <s v="Monthly"/>
    <x v="0"/>
    <n v="30"/>
    <x v="0"/>
    <n v="20"/>
    <n v="8"/>
    <n v="57"/>
  </r>
  <r>
    <n v="3246"/>
    <s v="Caio Pereira"/>
    <x v="2"/>
    <d v="2024-03-12T00:00:00"/>
    <x v="0"/>
    <n v="10"/>
    <s v="Annual"/>
    <x v="1"/>
    <s v="-"/>
    <x v="0"/>
    <n v="20"/>
    <n v="12"/>
    <n v="18"/>
  </r>
  <r>
    <n v="3247"/>
    <s v="Beatriz Gomes"/>
    <x v="1"/>
    <d v="2024-03-13T00:00:00"/>
    <x v="1"/>
    <n v="5"/>
    <s v="Monthly"/>
    <x v="1"/>
    <s v="-"/>
    <x v="1"/>
    <n v="0"/>
    <n v="2"/>
    <n v="3"/>
  </r>
  <r>
    <n v="3248"/>
    <s v="Cesar Oliveira"/>
    <x v="0"/>
    <d v="2024-03-14T00:00:00"/>
    <x v="0"/>
    <n v="15"/>
    <s v="Quarterly"/>
    <x v="0"/>
    <n v="30"/>
    <x v="0"/>
    <n v="20"/>
    <n v="7"/>
    <n v="58"/>
  </r>
  <r>
    <n v="3249"/>
    <s v="Débora Machado"/>
    <x v="2"/>
    <d v="2024-03-15T00:00:00"/>
    <x v="1"/>
    <n v="10"/>
    <s v="Monthly"/>
    <x v="1"/>
    <s v="-"/>
    <x v="0"/>
    <n v="20"/>
    <n v="5"/>
    <n v="25"/>
  </r>
  <r>
    <n v="3250"/>
    <s v="Eduardo Vargas"/>
    <x v="1"/>
    <d v="2024-03-16T00:00:00"/>
    <x v="0"/>
    <n v="5"/>
    <s v="Annual"/>
    <x v="1"/>
    <s v="-"/>
    <x v="1"/>
    <n v="0"/>
    <n v="0"/>
    <n v="5"/>
  </r>
  <r>
    <n v="3251"/>
    <s v="Gabriela Santos"/>
    <x v="0"/>
    <d v="2024-03-17T00:00:00"/>
    <x v="1"/>
    <n v="15"/>
    <s v="Monthly"/>
    <x v="0"/>
    <n v="30"/>
    <x v="0"/>
    <n v="20"/>
    <n v="3"/>
    <n v="62"/>
  </r>
  <r>
    <n v="3252"/>
    <s v="Henrique Dias"/>
    <x v="2"/>
    <d v="2024-03-18T00:00:00"/>
    <x v="0"/>
    <n v="10"/>
    <s v="Quarterly"/>
    <x v="1"/>
    <s v="-"/>
    <x v="0"/>
    <n v="20"/>
    <n v="15"/>
    <n v="15"/>
  </r>
  <r>
    <n v="3253"/>
    <s v="Isabela Moreira"/>
    <x v="1"/>
    <d v="2024-03-19T00:00:00"/>
    <x v="1"/>
    <n v="5"/>
    <s v="Monthly"/>
    <x v="1"/>
    <s v="-"/>
    <x v="1"/>
    <n v="0"/>
    <n v="1"/>
    <n v="4"/>
  </r>
  <r>
    <n v="3254"/>
    <s v="Joaquim Barbosa"/>
    <x v="0"/>
    <d v="2024-03-20T00:00:00"/>
    <x v="0"/>
    <n v="15"/>
    <s v="Annual"/>
    <x v="0"/>
    <n v="30"/>
    <x v="0"/>
    <n v="20"/>
    <n v="20"/>
    <n v="45"/>
  </r>
  <r>
    <n v="3255"/>
    <s v="Lara Rocha"/>
    <x v="2"/>
    <d v="2024-03-21T00:00:00"/>
    <x v="1"/>
    <n v="10"/>
    <s v="Monthly"/>
    <x v="1"/>
    <s v="-"/>
    <x v="0"/>
    <n v="20"/>
    <n v="10"/>
    <n v="20"/>
  </r>
  <r>
    <n v="3256"/>
    <s v="Matheus Silva"/>
    <x v="1"/>
    <d v="2024-03-22T00:00:00"/>
    <x v="0"/>
    <n v="5"/>
    <s v="Quarterly"/>
    <x v="1"/>
    <s v="-"/>
    <x v="1"/>
    <n v="0"/>
    <n v="0"/>
    <n v="5"/>
  </r>
  <r>
    <n v="3257"/>
    <s v="Nicole Costa"/>
    <x v="0"/>
    <d v="2024-03-23T00:00:00"/>
    <x v="1"/>
    <n v="15"/>
    <s v="Monthly"/>
    <x v="0"/>
    <n v="30"/>
    <x v="0"/>
    <n v="20"/>
    <n v="5"/>
    <n v="60"/>
  </r>
  <r>
    <n v="3258"/>
    <s v="Otávio Mendonça"/>
    <x v="2"/>
    <d v="2024-03-24T00:00:00"/>
    <x v="0"/>
    <n v="10"/>
    <s v="Annual"/>
    <x v="1"/>
    <s v="-"/>
    <x v="0"/>
    <n v="20"/>
    <n v="15"/>
    <n v="15"/>
  </r>
  <r>
    <n v="3259"/>
    <s v="Paula Ferreira"/>
    <x v="1"/>
    <d v="2024-03-25T00:00:00"/>
    <x v="1"/>
    <n v="5"/>
    <s v="Monthly"/>
    <x v="1"/>
    <s v="-"/>
    <x v="1"/>
    <n v="0"/>
    <n v="1"/>
    <n v="4"/>
  </r>
  <r>
    <n v="3260"/>
    <s v="Raquel Alves"/>
    <x v="0"/>
    <d v="2024-03-26T00:00:00"/>
    <x v="0"/>
    <n v="15"/>
    <s v="Quarterly"/>
    <x v="0"/>
    <n v="30"/>
    <x v="0"/>
    <n v="20"/>
    <n v="7"/>
    <n v="58"/>
  </r>
  <r>
    <n v="3261"/>
    <s v="Samuel Pires"/>
    <x v="2"/>
    <d v="2024-03-27T00:00:00"/>
    <x v="1"/>
    <n v="10"/>
    <s v="Monthly"/>
    <x v="1"/>
    <s v="-"/>
    <x v="0"/>
    <n v="20"/>
    <n v="10"/>
    <n v="20"/>
  </r>
  <r>
    <n v="3262"/>
    <s v="Tânia Barros"/>
    <x v="1"/>
    <d v="2024-03-28T00:00:00"/>
    <x v="0"/>
    <n v="5"/>
    <s v="Annual"/>
    <x v="1"/>
    <s v="-"/>
    <x v="1"/>
    <n v="0"/>
    <n v="0"/>
    <n v="5"/>
  </r>
  <r>
    <n v="3263"/>
    <s v="Vinicius Lima"/>
    <x v="0"/>
    <d v="2024-03-29T00:00:00"/>
    <x v="1"/>
    <n v="15"/>
    <s v="Monthly"/>
    <x v="0"/>
    <n v="30"/>
    <x v="0"/>
    <n v="20"/>
    <n v="3"/>
    <n v="62"/>
  </r>
  <r>
    <n v="3264"/>
    <s v="Yasmin Teixeira"/>
    <x v="2"/>
    <d v="2024-03-30T00:00:00"/>
    <x v="0"/>
    <n v="10"/>
    <s v="Quarterly"/>
    <x v="1"/>
    <s v="-"/>
    <x v="0"/>
    <n v="20"/>
    <n v="15"/>
    <n v="15"/>
  </r>
  <r>
    <n v="3265"/>
    <s v="Zé Carlos"/>
    <x v="1"/>
    <d v="2024-03-31T00:00:00"/>
    <x v="1"/>
    <n v="5"/>
    <s v="Monthly"/>
    <x v="1"/>
    <s v="-"/>
    <x v="1"/>
    <n v="0"/>
    <n v="1"/>
    <n v="4"/>
  </r>
  <r>
    <n v="3266"/>
    <s v="Amanda Nogueira"/>
    <x v="1"/>
    <d v="2024-04-01T00:00:00"/>
    <x v="0"/>
    <n v="5"/>
    <s v="Monthly"/>
    <x v="1"/>
    <s v="-"/>
    <x v="1"/>
    <n v="0"/>
    <n v="0"/>
    <n v="5"/>
  </r>
  <r>
    <n v="3267"/>
    <s v="Bruno Cavalheiro"/>
    <x v="0"/>
    <d v="2024-04-02T00:00:00"/>
    <x v="1"/>
    <n v="15"/>
    <s v="Quarterly"/>
    <x v="0"/>
    <n v="30"/>
    <x v="0"/>
    <n v="20"/>
    <n v="7"/>
    <n v="58"/>
  </r>
  <r>
    <n v="3268"/>
    <s v="Carla Dias"/>
    <x v="2"/>
    <d v="2024-04-03T00:00:00"/>
    <x v="0"/>
    <n v="10"/>
    <s v="Annual"/>
    <x v="1"/>
    <s v="-"/>
    <x v="0"/>
    <n v="20"/>
    <n v="10"/>
    <n v="20"/>
  </r>
  <r>
    <n v="3269"/>
    <s v="Diego Fontes"/>
    <x v="1"/>
    <d v="2024-04-04T00:00:00"/>
    <x v="1"/>
    <n v="5"/>
    <s v="Quarterly"/>
    <x v="1"/>
    <s v="-"/>
    <x v="1"/>
    <n v="0"/>
    <n v="1"/>
    <n v="4"/>
  </r>
  <r>
    <n v="3270"/>
    <s v="Eunice Lima"/>
    <x v="0"/>
    <d v="2024-04-05T00:00:00"/>
    <x v="0"/>
    <n v="15"/>
    <s v="Monthly"/>
    <x v="0"/>
    <n v="30"/>
    <x v="0"/>
    <n v="20"/>
    <n v="15"/>
    <n v="50"/>
  </r>
  <r>
    <n v="3271"/>
    <s v="Fábio Martins"/>
    <x v="2"/>
    <d v="2024-04-06T00:00:00"/>
    <x v="1"/>
    <n v="10"/>
    <s v="Monthly"/>
    <x v="1"/>
    <s v="-"/>
    <x v="0"/>
    <n v="20"/>
    <n v="5"/>
    <n v="25"/>
  </r>
  <r>
    <n v="3272"/>
    <s v="Gisele Araújo"/>
    <x v="1"/>
    <d v="2024-04-07T00:00:00"/>
    <x v="0"/>
    <n v="5"/>
    <s v="Annual"/>
    <x v="1"/>
    <s v="-"/>
    <x v="1"/>
    <n v="0"/>
    <n v="0"/>
    <n v="5"/>
  </r>
  <r>
    <n v="3273"/>
    <s v="Hélio Castro"/>
    <x v="0"/>
    <d v="2024-04-08T00:00:00"/>
    <x v="1"/>
    <n v="15"/>
    <s v="Quarterly"/>
    <x v="0"/>
    <n v="30"/>
    <x v="0"/>
    <n v="20"/>
    <n v="20"/>
    <n v="45"/>
  </r>
  <r>
    <n v="3274"/>
    <s v="Ingrid Menezes"/>
    <x v="2"/>
    <d v="2024-04-09T00:00:00"/>
    <x v="0"/>
    <n v="10"/>
    <s v="Quarterly"/>
    <x v="1"/>
    <s v="-"/>
    <x v="0"/>
    <n v="20"/>
    <n v="12"/>
    <n v="18"/>
  </r>
  <r>
    <n v="3275"/>
    <s v="Jorge Baptista"/>
    <x v="1"/>
    <d v="2024-04-10T00:00:00"/>
    <x v="1"/>
    <n v="5"/>
    <s v="Monthly"/>
    <x v="1"/>
    <s v="-"/>
    <x v="1"/>
    <n v="0"/>
    <n v="2"/>
    <n v="3"/>
  </r>
  <r>
    <n v="3276"/>
    <s v="Kléber Oliveira"/>
    <x v="0"/>
    <d v="2024-04-11T00:00:00"/>
    <x v="0"/>
    <n v="15"/>
    <s v="Annual"/>
    <x v="0"/>
    <n v="30"/>
    <x v="0"/>
    <n v="20"/>
    <n v="5"/>
    <n v="60"/>
  </r>
  <r>
    <n v="3277"/>
    <s v="Luciana Freitas"/>
    <x v="2"/>
    <d v="2024-04-12T00:00:00"/>
    <x v="1"/>
    <n v="10"/>
    <s v="Monthly"/>
    <x v="1"/>
    <s v="-"/>
    <x v="0"/>
    <n v="20"/>
    <n v="10"/>
    <n v="20"/>
  </r>
  <r>
    <n v="3278"/>
    <s v="Márcia Eller"/>
    <x v="1"/>
    <d v="2024-04-13T00:00:00"/>
    <x v="0"/>
    <n v="5"/>
    <s v="Quarterly"/>
    <x v="1"/>
    <s v="-"/>
    <x v="1"/>
    <n v="0"/>
    <n v="0"/>
    <n v="5"/>
  </r>
  <r>
    <n v="3279"/>
    <s v="Nilo Peçanha"/>
    <x v="0"/>
    <d v="2024-04-14T00:00:00"/>
    <x v="1"/>
    <n v="15"/>
    <s v="Monthly"/>
    <x v="0"/>
    <n v="30"/>
    <x v="0"/>
    <n v="20"/>
    <n v="3"/>
    <n v="62"/>
  </r>
  <r>
    <n v="3280"/>
    <s v="Oscar Neves"/>
    <x v="2"/>
    <d v="2024-04-15T00:00:00"/>
    <x v="0"/>
    <n v="10"/>
    <s v="Annual"/>
    <x v="1"/>
    <s v="-"/>
    <x v="0"/>
    <n v="20"/>
    <n v="15"/>
    <n v="15"/>
  </r>
  <r>
    <n v="3281"/>
    <s v="Patrícia Soares"/>
    <x v="1"/>
    <d v="2024-04-16T00:00:00"/>
    <x v="1"/>
    <n v="5"/>
    <s v="Monthly"/>
    <x v="1"/>
    <s v="-"/>
    <x v="1"/>
    <n v="0"/>
    <n v="1"/>
    <n v="4"/>
  </r>
  <r>
    <n v="3282"/>
    <s v="Quirino Gonçalves"/>
    <x v="0"/>
    <d v="2024-04-17T00:00:00"/>
    <x v="0"/>
    <n v="15"/>
    <s v="Quarterly"/>
    <x v="0"/>
    <n v="30"/>
    <x v="0"/>
    <n v="20"/>
    <n v="7"/>
    <n v="58"/>
  </r>
  <r>
    <n v="3283"/>
    <s v="Raul Machado"/>
    <x v="2"/>
    <d v="2024-04-18T00:00:00"/>
    <x v="1"/>
    <n v="10"/>
    <s v="Monthly"/>
    <x v="1"/>
    <s v="-"/>
    <x v="0"/>
    <n v="20"/>
    <n v="10"/>
    <n v="20"/>
  </r>
  <r>
    <n v="3284"/>
    <s v="Sônia Lobo"/>
    <x v="1"/>
    <d v="2024-04-19T00:00:00"/>
    <x v="0"/>
    <n v="5"/>
    <s v="Annual"/>
    <x v="1"/>
    <s v="-"/>
    <x v="1"/>
    <n v="0"/>
    <n v="0"/>
    <n v="5"/>
  </r>
  <r>
    <n v="3285"/>
    <s v="Tiago Ramos"/>
    <x v="0"/>
    <d v="2024-04-20T00:00:00"/>
    <x v="1"/>
    <n v="15"/>
    <s v="Monthly"/>
    <x v="0"/>
    <n v="30"/>
    <x v="0"/>
    <n v="20"/>
    <n v="20"/>
    <n v="45"/>
  </r>
  <r>
    <n v="3286"/>
    <s v="Ugo Pires"/>
    <x v="2"/>
    <d v="2024-04-21T00:00:00"/>
    <x v="0"/>
    <n v="10"/>
    <s v="Quarterly"/>
    <x v="1"/>
    <s v="-"/>
    <x v="0"/>
    <n v="20"/>
    <n v="15"/>
    <n v="15"/>
  </r>
  <r>
    <n v="3287"/>
    <s v="Valéria Nobre"/>
    <x v="1"/>
    <d v="2024-04-22T00:00:00"/>
    <x v="1"/>
    <n v="5"/>
    <s v="Monthly"/>
    <x v="1"/>
    <s v="-"/>
    <x v="1"/>
    <n v="0"/>
    <n v="1"/>
    <n v="4"/>
  </r>
  <r>
    <n v="3288"/>
    <s v="William Siqueira"/>
    <x v="0"/>
    <d v="2024-04-23T00:00:00"/>
    <x v="0"/>
    <n v="15"/>
    <s v="Annual"/>
    <x v="0"/>
    <n v="30"/>
    <x v="0"/>
    <n v="20"/>
    <n v="3"/>
    <n v="62"/>
  </r>
  <r>
    <n v="3289"/>
    <s v="Xuxa Meneghel"/>
    <x v="2"/>
    <d v="2024-04-24T00:00:00"/>
    <x v="1"/>
    <n v="10"/>
    <s v="Monthly"/>
    <x v="1"/>
    <s v="-"/>
    <x v="0"/>
    <n v="20"/>
    <n v="10"/>
    <n v="20"/>
  </r>
  <r>
    <n v="3290"/>
    <s v="Yara Figueiredo"/>
    <x v="1"/>
    <d v="2024-04-25T00:00:00"/>
    <x v="0"/>
    <n v="5"/>
    <s v="Quarterly"/>
    <x v="1"/>
    <s v="-"/>
    <x v="1"/>
    <n v="0"/>
    <n v="0"/>
    <n v="5"/>
  </r>
  <r>
    <n v="3291"/>
    <s v="Zacarias Alves"/>
    <x v="0"/>
    <d v="2024-04-26T00:00:00"/>
    <x v="1"/>
    <n v="15"/>
    <s v="Monthly"/>
    <x v="0"/>
    <n v="30"/>
    <x v="0"/>
    <n v="20"/>
    <n v="5"/>
    <n v="60"/>
  </r>
  <r>
    <n v="3292"/>
    <s v="Amanda Bynes"/>
    <x v="2"/>
    <d v="2024-04-27T00:00:00"/>
    <x v="0"/>
    <n v="10"/>
    <s v="Annual"/>
    <x v="1"/>
    <s v="-"/>
    <x v="0"/>
    <n v="20"/>
    <n v="15"/>
    <n v="15"/>
  </r>
  <r>
    <n v="3293"/>
    <s v="Bruno Mars"/>
    <x v="1"/>
    <d v="2024-04-28T00:00:00"/>
    <x v="1"/>
    <n v="5"/>
    <s v="Monthly"/>
    <x v="1"/>
    <s v="-"/>
    <x v="1"/>
    <n v="0"/>
    <n v="1"/>
    <n v="4"/>
  </r>
  <r>
    <n v="3294"/>
    <s v="Carla Bruni"/>
    <x v="0"/>
    <d v="2024-04-29T00:00:00"/>
    <x v="0"/>
    <n v="15"/>
    <s v="Quarterly"/>
    <x v="0"/>
    <n v="30"/>
    <x v="0"/>
    <n v="20"/>
    <n v="20"/>
    <n v="45"/>
  </r>
  <r>
    <n v="3295"/>
    <s v="Diego Maradona"/>
    <x v="2"/>
    <d v="2024-04-30T00:00:00"/>
    <x v="1"/>
    <n v="10"/>
    <s v="Monthly"/>
    <x v="1"/>
    <s v="-"/>
    <x v="0"/>
    <n v="20"/>
    <n v="5"/>
    <n v="25"/>
  </r>
  <r>
    <n v="3296"/>
    <s v="Estela Marques"/>
    <x v="1"/>
    <d v="2024-05-01T00:00:00"/>
    <x v="1"/>
    <n v="5"/>
    <s v="Monthly"/>
    <x v="1"/>
    <s v="-"/>
    <x v="1"/>
    <n v="0"/>
    <n v="0"/>
    <n v="5"/>
  </r>
  <r>
    <n v="3297"/>
    <s v="Fábio Nobre"/>
    <x v="0"/>
    <d v="2024-05-02T00:00:00"/>
    <x v="0"/>
    <n v="15"/>
    <s v="Quarterly"/>
    <x v="0"/>
    <n v="30"/>
    <x v="0"/>
    <n v="20"/>
    <n v="7"/>
    <n v="58"/>
  </r>
  <r>
    <n v="3298"/>
    <s v="Gabriel Oliveira"/>
    <x v="2"/>
    <d v="2024-05-03T00:00:00"/>
    <x v="1"/>
    <n v="10"/>
    <s v="Annual"/>
    <x v="1"/>
    <s v="-"/>
    <x v="0"/>
    <n v="20"/>
    <n v="10"/>
    <n v="20"/>
  </r>
  <r>
    <n v="3299"/>
    <s v="Helena Santos"/>
    <x v="1"/>
    <d v="2024-05-04T00:00:00"/>
    <x v="0"/>
    <n v="5"/>
    <s v="Quarterly"/>
    <x v="1"/>
    <s v="-"/>
    <x v="1"/>
    <n v="0"/>
    <n v="1"/>
    <n v="4"/>
  </r>
  <r>
    <n v="3300"/>
    <s v="Ivan Carvalho"/>
    <x v="0"/>
    <d v="2024-05-05T00:00:00"/>
    <x v="1"/>
    <n v="15"/>
    <s v="Monthly"/>
    <x v="0"/>
    <n v="30"/>
    <x v="0"/>
    <n v="20"/>
    <n v="15"/>
    <n v="50"/>
  </r>
  <r>
    <n v="3301"/>
    <s v="Júlia Ferreira"/>
    <x v="2"/>
    <d v="2024-05-06T00:00:00"/>
    <x v="0"/>
    <n v="10"/>
    <s v="Monthly"/>
    <x v="1"/>
    <s v="-"/>
    <x v="0"/>
    <n v="20"/>
    <n v="5"/>
    <n v="25"/>
  </r>
  <r>
    <n v="3302"/>
    <s v="Karla Alves"/>
    <x v="1"/>
    <d v="2024-05-07T00:00:00"/>
    <x v="1"/>
    <n v="5"/>
    <s v="Annual"/>
    <x v="1"/>
    <s v="-"/>
    <x v="1"/>
    <n v="0"/>
    <n v="0"/>
    <n v="5"/>
  </r>
  <r>
    <n v="3303"/>
    <s v="Lucas Mendes"/>
    <x v="0"/>
    <d v="2024-05-08T00:00:00"/>
    <x v="0"/>
    <n v="15"/>
    <s v="Quarterly"/>
    <x v="0"/>
    <n v="30"/>
    <x v="0"/>
    <n v="20"/>
    <n v="20"/>
    <n v="45"/>
  </r>
  <r>
    <n v="3304"/>
    <s v="Mônica Gomes"/>
    <x v="2"/>
    <d v="2024-05-09T00:00:00"/>
    <x v="1"/>
    <n v="10"/>
    <s v="Quarterly"/>
    <x v="1"/>
    <s v="-"/>
    <x v="0"/>
    <n v="20"/>
    <n v="12"/>
    <n v="18"/>
  </r>
  <r>
    <n v="3305"/>
    <s v="Norberto Queiroz"/>
    <x v="1"/>
    <d v="2024-05-10T00:00:00"/>
    <x v="0"/>
    <n v="5"/>
    <s v="Monthly"/>
    <x v="1"/>
    <s v="-"/>
    <x v="1"/>
    <n v="0"/>
    <n v="2"/>
    <n v="3"/>
  </r>
  <r>
    <n v="3306"/>
    <s v="Otávio Barros"/>
    <x v="0"/>
    <d v="2024-05-11T00:00:00"/>
    <x v="1"/>
    <n v="15"/>
    <s v="Annual"/>
    <x v="0"/>
    <n v="30"/>
    <x v="0"/>
    <n v="20"/>
    <n v="5"/>
    <n v="60"/>
  </r>
  <r>
    <n v="3307"/>
    <s v="Paula Vieira"/>
    <x v="2"/>
    <d v="2024-05-12T00:00:00"/>
    <x v="0"/>
    <n v="10"/>
    <s v="Monthly"/>
    <x v="1"/>
    <s v="-"/>
    <x v="0"/>
    <n v="20"/>
    <n v="10"/>
    <n v="20"/>
  </r>
  <r>
    <n v="3308"/>
    <s v="Quentin Ramos"/>
    <x v="1"/>
    <d v="2024-05-13T00:00:00"/>
    <x v="1"/>
    <n v="5"/>
    <s v="Quarterly"/>
    <x v="1"/>
    <s v="-"/>
    <x v="1"/>
    <n v="0"/>
    <n v="0"/>
    <n v="5"/>
  </r>
  <r>
    <n v="3309"/>
    <s v="Raquel Novaes"/>
    <x v="0"/>
    <d v="2024-05-14T00:00:00"/>
    <x v="0"/>
    <n v="15"/>
    <s v="Monthly"/>
    <x v="0"/>
    <n v="30"/>
    <x v="0"/>
    <n v="20"/>
    <n v="3"/>
    <n v="62"/>
  </r>
  <r>
    <n v="3310"/>
    <s v="Samantha Lopes"/>
    <x v="2"/>
    <d v="2024-05-15T00:00:00"/>
    <x v="1"/>
    <n v="10"/>
    <s v="Annual"/>
    <x v="1"/>
    <s v="-"/>
    <x v="0"/>
    <n v="20"/>
    <n v="15"/>
    <n v="15"/>
  </r>
  <r>
    <n v="3311"/>
    <s v="Tiago Martins"/>
    <x v="1"/>
    <d v="2024-05-16T00:00:00"/>
    <x v="0"/>
    <n v="5"/>
    <s v="Monthly"/>
    <x v="1"/>
    <s v="-"/>
    <x v="1"/>
    <n v="0"/>
    <n v="1"/>
    <n v="4"/>
  </r>
  <r>
    <n v="3312"/>
    <s v="Ulysses Guimarães"/>
    <x v="0"/>
    <d v="2024-05-17T00:00:00"/>
    <x v="1"/>
    <n v="15"/>
    <s v="Quarterly"/>
    <x v="0"/>
    <n v="30"/>
    <x v="0"/>
    <n v="20"/>
    <n v="7"/>
    <n v="58"/>
  </r>
  <r>
    <n v="3313"/>
    <s v="Vanessa Silva"/>
    <x v="2"/>
    <d v="2024-05-18T00:00:00"/>
    <x v="0"/>
    <n v="10"/>
    <s v="Monthly"/>
    <x v="1"/>
    <s v="-"/>
    <x v="0"/>
    <n v="20"/>
    <n v="10"/>
    <n v="20"/>
  </r>
  <r>
    <n v="3314"/>
    <s v="William Carneiro"/>
    <x v="1"/>
    <d v="2024-05-19T00:00:00"/>
    <x v="1"/>
    <n v="5"/>
    <s v="Annual"/>
    <x v="1"/>
    <s v="-"/>
    <x v="1"/>
    <n v="0"/>
    <n v="0"/>
    <n v="5"/>
  </r>
  <r>
    <n v="3315"/>
    <s v="Ximena Rocha"/>
    <x v="0"/>
    <d v="2024-05-20T00:00:00"/>
    <x v="0"/>
    <n v="15"/>
    <s v="Monthly"/>
    <x v="0"/>
    <n v="30"/>
    <x v="0"/>
    <n v="20"/>
    <n v="20"/>
    <n v="45"/>
  </r>
  <r>
    <n v="3316"/>
    <s v="Yasmin Figueiredo"/>
    <x v="2"/>
    <d v="2024-05-21T00:00:00"/>
    <x v="1"/>
    <n v="10"/>
    <s v="Quarterly"/>
    <x v="1"/>
    <s v="-"/>
    <x v="0"/>
    <n v="20"/>
    <n v="15"/>
    <n v="15"/>
  </r>
  <r>
    <n v="3317"/>
    <s v="Zara Cunha"/>
    <x v="1"/>
    <d v="2024-05-22T00:00:00"/>
    <x v="0"/>
    <n v="5"/>
    <s v="Monthly"/>
    <x v="1"/>
    <s v="-"/>
    <x v="1"/>
    <n v="0"/>
    <n v="1"/>
    <n v="4"/>
  </r>
  <r>
    <n v="3318"/>
    <s v="Alan Teixeira"/>
    <x v="0"/>
    <d v="2024-05-23T00:00:00"/>
    <x v="1"/>
    <n v="15"/>
    <s v="Annual"/>
    <x v="0"/>
    <n v="30"/>
    <x v="0"/>
    <n v="20"/>
    <n v="3"/>
    <n v="62"/>
  </r>
  <r>
    <n v="3319"/>
    <s v="Bárbara Oliveira"/>
    <x v="2"/>
    <d v="2024-05-24T00:00:00"/>
    <x v="0"/>
    <n v="10"/>
    <s v="Monthly"/>
    <x v="1"/>
    <s v="-"/>
    <x v="0"/>
    <n v="20"/>
    <n v="10"/>
    <n v="20"/>
  </r>
  <r>
    <n v="3320"/>
    <s v="Carlos Junqueira"/>
    <x v="1"/>
    <d v="2024-05-25T00:00:00"/>
    <x v="1"/>
    <n v="5"/>
    <s v="Quarterly"/>
    <x v="1"/>
    <s v="-"/>
    <x v="1"/>
    <n v="0"/>
    <n v="0"/>
    <n v="5"/>
  </r>
  <r>
    <n v="3321"/>
    <s v="Daniela Moura"/>
    <x v="0"/>
    <d v="2024-05-26T00:00:00"/>
    <x v="0"/>
    <n v="15"/>
    <s v="Monthly"/>
    <x v="0"/>
    <n v="30"/>
    <x v="0"/>
    <n v="20"/>
    <n v="5"/>
    <n v="60"/>
  </r>
  <r>
    <n v="3322"/>
    <s v="Eduardo Lima"/>
    <x v="2"/>
    <d v="2024-05-27T00:00:00"/>
    <x v="1"/>
    <n v="10"/>
    <s v="Annual"/>
    <x v="1"/>
    <s v="-"/>
    <x v="0"/>
    <n v="20"/>
    <n v="15"/>
    <n v="15"/>
  </r>
  <r>
    <n v="3323"/>
    <s v="Fabiana Araújo"/>
    <x v="1"/>
    <d v="2024-05-28T00:00:00"/>
    <x v="0"/>
    <n v="5"/>
    <s v="Monthly"/>
    <x v="1"/>
    <s v="-"/>
    <x v="1"/>
    <n v="0"/>
    <n v="1"/>
    <n v="4"/>
  </r>
  <r>
    <n v="3324"/>
    <s v="Geraldo Ribeiro"/>
    <x v="0"/>
    <d v="2024-05-29T00:00:00"/>
    <x v="1"/>
    <n v="15"/>
    <s v="Quarterly"/>
    <x v="0"/>
    <n v="30"/>
    <x v="0"/>
    <n v="20"/>
    <n v="20"/>
    <n v="45"/>
  </r>
  <r>
    <n v="3325"/>
    <s v="Héctor Vargas"/>
    <x v="2"/>
    <d v="2024-05-30T00:00:00"/>
    <x v="0"/>
    <n v="10"/>
    <s v="Quarterly"/>
    <x v="1"/>
    <s v="-"/>
    <x v="0"/>
    <n v="20"/>
    <n v="15"/>
    <n v="15"/>
  </r>
  <r>
    <n v="3326"/>
    <s v="Isabela Fonseca"/>
    <x v="1"/>
    <d v="2024-05-31T00:00:00"/>
    <x v="1"/>
    <n v="5"/>
    <s v="Annual"/>
    <x v="1"/>
    <s v="-"/>
    <x v="1"/>
    <n v="0"/>
    <n v="0"/>
    <n v="5"/>
  </r>
  <r>
    <n v="3327"/>
    <s v="João Pedro Almeida"/>
    <x v="0"/>
    <d v="2024-06-01T00:00:00"/>
    <x v="0"/>
    <n v="15"/>
    <s v="Monthly"/>
    <x v="0"/>
    <n v="30"/>
    <x v="0"/>
    <n v="20"/>
    <n v="7"/>
    <n v="58"/>
  </r>
  <r>
    <n v="3328"/>
    <s v="Klara Costa"/>
    <x v="2"/>
    <d v="2024-06-02T00:00:00"/>
    <x v="1"/>
    <n v="10"/>
    <s v="Annual"/>
    <x v="1"/>
    <s v="-"/>
    <x v="0"/>
    <n v="20"/>
    <n v="10"/>
    <n v="20"/>
  </r>
  <r>
    <n v="3329"/>
    <s v="Luciana Mendes"/>
    <x v="1"/>
    <d v="2024-06-03T00:00:00"/>
    <x v="0"/>
    <n v="5"/>
    <s v="Quarterly"/>
    <x v="1"/>
    <s v="-"/>
    <x v="1"/>
    <n v="0"/>
    <n v="1"/>
    <n v="4"/>
  </r>
  <r>
    <n v="3330"/>
    <s v="Marcelo Gouveia"/>
    <x v="0"/>
    <d v="2024-06-04T00:00:00"/>
    <x v="1"/>
    <n v="15"/>
    <s v="Monthly"/>
    <x v="0"/>
    <n v="30"/>
    <x v="0"/>
    <n v="20"/>
    <n v="15"/>
    <n v="50"/>
  </r>
  <r>
    <n v="3331"/>
    <s v="Nívea Borges"/>
    <x v="2"/>
    <d v="2024-06-05T00:00:00"/>
    <x v="0"/>
    <n v="10"/>
    <s v="Monthly"/>
    <x v="1"/>
    <s v="-"/>
    <x v="0"/>
    <n v="20"/>
    <n v="5"/>
    <n v="25"/>
  </r>
  <r>
    <n v="3332"/>
    <s v="Oscar Nogueira"/>
    <x v="1"/>
    <d v="2024-06-06T00:00:00"/>
    <x v="1"/>
    <n v="5"/>
    <s v="Annual"/>
    <x v="1"/>
    <s v="-"/>
    <x v="1"/>
    <n v="0"/>
    <n v="0"/>
    <n v="5"/>
  </r>
  <r>
    <n v="3333"/>
    <s v="Patrícia Alves"/>
    <x v="0"/>
    <d v="2024-06-07T00:00:00"/>
    <x v="0"/>
    <n v="15"/>
    <s v="Quarterly"/>
    <x v="0"/>
    <n v="30"/>
    <x v="0"/>
    <n v="20"/>
    <n v="20"/>
    <n v="45"/>
  </r>
  <r>
    <n v="3334"/>
    <s v="Rafaela Silva"/>
    <x v="2"/>
    <d v="2024-06-08T00:00:00"/>
    <x v="1"/>
    <n v="10"/>
    <s v="Quarterly"/>
    <x v="1"/>
    <s v="-"/>
    <x v="0"/>
    <n v="20"/>
    <n v="12"/>
    <n v="18"/>
  </r>
  <r>
    <n v="3335"/>
    <s v="Samantha Moraes"/>
    <x v="1"/>
    <d v="2024-06-09T00:00:00"/>
    <x v="0"/>
    <n v="5"/>
    <s v="Monthly"/>
    <x v="1"/>
    <s v="-"/>
    <x v="1"/>
    <n v="0"/>
    <n v="2"/>
    <n v="3"/>
  </r>
  <r>
    <n v="3336"/>
    <s v="Tatiana Rocha"/>
    <x v="1"/>
    <d v="2024-06-10T00:00:00"/>
    <x v="0"/>
    <n v="5"/>
    <s v="Monthly"/>
    <x v="1"/>
    <s v="-"/>
    <x v="1"/>
    <n v="0"/>
    <n v="0"/>
    <n v="5"/>
  </r>
  <r>
    <n v="3337"/>
    <s v="Ulisses Tavares"/>
    <x v="0"/>
    <d v="2024-06-11T00:00:00"/>
    <x v="1"/>
    <n v="15"/>
    <s v="Quarterly"/>
    <x v="0"/>
    <n v="30"/>
    <x v="0"/>
    <n v="20"/>
    <n v="7"/>
    <n v="58"/>
  </r>
  <r>
    <n v="3338"/>
    <s v="Víctor Lemos"/>
    <x v="2"/>
    <d v="2024-06-12T00:00:00"/>
    <x v="0"/>
    <n v="10"/>
    <s v="Annual"/>
    <x v="1"/>
    <s v="-"/>
    <x v="0"/>
    <n v="20"/>
    <n v="10"/>
    <n v="20"/>
  </r>
  <r>
    <n v="3339"/>
    <s v="Wilma Barros"/>
    <x v="1"/>
    <d v="2024-06-13T00:00:00"/>
    <x v="1"/>
    <n v="5"/>
    <s v="Quarterly"/>
    <x v="1"/>
    <s v="-"/>
    <x v="1"/>
    <n v="0"/>
    <n v="1"/>
    <n v="4"/>
  </r>
  <r>
    <n v="3340"/>
    <s v="Xavier Nascimento"/>
    <x v="0"/>
    <d v="2024-06-14T00:00:00"/>
    <x v="0"/>
    <n v="15"/>
    <s v="Monthly"/>
    <x v="0"/>
    <n v="30"/>
    <x v="0"/>
    <n v="20"/>
    <n v="15"/>
    <n v="50"/>
  </r>
  <r>
    <n v="3341"/>
    <s v="Yago Pereira"/>
    <x v="2"/>
    <d v="2024-06-15T00:00:00"/>
    <x v="1"/>
    <n v="10"/>
    <s v="Monthly"/>
    <x v="1"/>
    <s v="-"/>
    <x v="0"/>
    <n v="20"/>
    <n v="5"/>
    <n v="25"/>
  </r>
  <r>
    <n v="3342"/>
    <s v="Zilda Ferreira"/>
    <x v="1"/>
    <d v="2024-06-16T00:00:00"/>
    <x v="0"/>
    <n v="5"/>
    <s v="Annual"/>
    <x v="1"/>
    <s v="-"/>
    <x v="1"/>
    <n v="0"/>
    <n v="0"/>
    <n v="5"/>
  </r>
  <r>
    <n v="3343"/>
    <s v="Amanda Lopes"/>
    <x v="0"/>
    <d v="2024-06-17T00:00:00"/>
    <x v="1"/>
    <n v="15"/>
    <s v="Quarterly"/>
    <x v="0"/>
    <n v="30"/>
    <x v="0"/>
    <n v="20"/>
    <n v="20"/>
    <n v="45"/>
  </r>
  <r>
    <n v="3344"/>
    <s v="Bruno Miranda"/>
    <x v="2"/>
    <d v="2024-06-18T00:00:00"/>
    <x v="0"/>
    <n v="10"/>
    <s v="Quarterly"/>
    <x v="1"/>
    <s v="-"/>
    <x v="0"/>
    <n v="20"/>
    <n v="12"/>
    <n v="18"/>
  </r>
  <r>
    <n v="3345"/>
    <s v="Célia Torres"/>
    <x v="1"/>
    <d v="2024-06-19T00:00:00"/>
    <x v="1"/>
    <n v="5"/>
    <s v="Monthly"/>
    <x v="1"/>
    <s v="-"/>
    <x v="1"/>
    <n v="0"/>
    <n v="2"/>
    <n v="3"/>
  </r>
  <r>
    <n v="3346"/>
    <s v="Diogo Souza"/>
    <x v="0"/>
    <d v="2024-06-20T00:00:00"/>
    <x v="0"/>
    <n v="15"/>
    <s v="Annual"/>
    <x v="0"/>
    <n v="30"/>
    <x v="0"/>
    <n v="20"/>
    <n v="5"/>
    <n v="60"/>
  </r>
  <r>
    <n v="3347"/>
    <s v="Elisa Castro"/>
    <x v="2"/>
    <d v="2024-06-21T00:00:00"/>
    <x v="1"/>
    <n v="10"/>
    <s v="Monthly"/>
    <x v="1"/>
    <s v="-"/>
    <x v="0"/>
    <n v="20"/>
    <n v="10"/>
    <n v="20"/>
  </r>
  <r>
    <n v="3348"/>
    <s v="Fátima Lima"/>
    <x v="1"/>
    <d v="2024-06-22T00:00:00"/>
    <x v="0"/>
    <n v="5"/>
    <s v="Quarterly"/>
    <x v="1"/>
    <s v="-"/>
    <x v="1"/>
    <n v="0"/>
    <n v="0"/>
    <n v="5"/>
  </r>
  <r>
    <n v="3349"/>
    <s v="Geraldo Ribeiro"/>
    <x v="0"/>
    <d v="2024-06-23T00:00:00"/>
    <x v="1"/>
    <n v="15"/>
    <s v="Monthly"/>
    <x v="0"/>
    <n v="30"/>
    <x v="0"/>
    <n v="20"/>
    <n v="3"/>
    <n v="62"/>
  </r>
  <r>
    <n v="3350"/>
    <s v="Hélio Martins"/>
    <x v="2"/>
    <d v="2024-06-24T00:00:00"/>
    <x v="0"/>
    <n v="10"/>
    <s v="Annual"/>
    <x v="1"/>
    <s v="-"/>
    <x v="0"/>
    <n v="20"/>
    <n v="15"/>
    <n v="15"/>
  </r>
  <r>
    <n v="3351"/>
    <s v="Íris Santos"/>
    <x v="1"/>
    <d v="2024-06-25T00:00:00"/>
    <x v="1"/>
    <n v="5"/>
    <s v="Monthly"/>
    <x v="1"/>
    <s v="-"/>
    <x v="1"/>
    <n v="0"/>
    <n v="1"/>
    <n v="4"/>
  </r>
  <r>
    <n v="3352"/>
    <s v="João Marcelo"/>
    <x v="0"/>
    <d v="2024-06-26T00:00:00"/>
    <x v="0"/>
    <n v="15"/>
    <s v="Quarterly"/>
    <x v="0"/>
    <n v="30"/>
    <x v="0"/>
    <n v="20"/>
    <n v="7"/>
    <n v="58"/>
  </r>
  <r>
    <n v="3353"/>
    <s v="Larissa Gomes"/>
    <x v="2"/>
    <d v="2024-06-27T00:00:00"/>
    <x v="1"/>
    <n v="10"/>
    <s v="Monthly"/>
    <x v="1"/>
    <s v="-"/>
    <x v="0"/>
    <n v="20"/>
    <n v="10"/>
    <n v="20"/>
  </r>
  <r>
    <n v="3354"/>
    <s v="Márcio Silva"/>
    <x v="1"/>
    <d v="2024-06-28T00:00:00"/>
    <x v="0"/>
    <n v="5"/>
    <s v="Annual"/>
    <x v="1"/>
    <s v="-"/>
    <x v="1"/>
    <n v="0"/>
    <n v="0"/>
    <n v="5"/>
  </r>
  <r>
    <n v="3355"/>
    <s v="Nadia Costa"/>
    <x v="0"/>
    <d v="2024-06-29T00:00:00"/>
    <x v="1"/>
    <n v="15"/>
    <s v="Monthly"/>
    <x v="0"/>
    <n v="30"/>
    <x v="0"/>
    <n v="20"/>
    <n v="20"/>
    <n v="45"/>
  </r>
  <r>
    <n v="3356"/>
    <s v="Oscar Almeida"/>
    <x v="2"/>
    <d v="2024-06-30T00:00:00"/>
    <x v="0"/>
    <n v="10"/>
    <s v="Quarterly"/>
    <x v="1"/>
    <s v="-"/>
    <x v="0"/>
    <n v="20"/>
    <n v="15"/>
    <n v="15"/>
  </r>
  <r>
    <n v="3357"/>
    <s v="Patricia Soares"/>
    <x v="1"/>
    <d v="2024-07-01T00:00:00"/>
    <x v="1"/>
    <n v="5"/>
    <s v="Monthly"/>
    <x v="1"/>
    <s v="-"/>
    <x v="1"/>
    <n v="0"/>
    <n v="1"/>
    <n v="4"/>
  </r>
  <r>
    <n v="3358"/>
    <s v="Quênia Barros"/>
    <x v="0"/>
    <d v="2024-07-02T00:00:00"/>
    <x v="0"/>
    <n v="15"/>
    <s v="Annual"/>
    <x v="0"/>
    <n v="30"/>
    <x v="0"/>
    <n v="20"/>
    <n v="3"/>
    <n v="62"/>
  </r>
  <r>
    <n v="3359"/>
    <s v="Rafael Torres"/>
    <x v="2"/>
    <d v="2024-07-03T00:00:00"/>
    <x v="1"/>
    <n v="10"/>
    <s v="Monthly"/>
    <x v="1"/>
    <s v="-"/>
    <x v="0"/>
    <n v="20"/>
    <n v="10"/>
    <n v="20"/>
  </r>
  <r>
    <n v="3360"/>
    <s v="Silvia Nascimento"/>
    <x v="1"/>
    <d v="2024-07-04T00:00:00"/>
    <x v="0"/>
    <n v="5"/>
    <s v="Quarterly"/>
    <x v="1"/>
    <s v="-"/>
    <x v="1"/>
    <n v="0"/>
    <n v="0"/>
    <n v="5"/>
  </r>
  <r>
    <n v="3361"/>
    <s v="Tiago Mendes"/>
    <x v="0"/>
    <d v="2024-07-05T00:00:00"/>
    <x v="1"/>
    <n v="15"/>
    <s v="Monthly"/>
    <x v="0"/>
    <n v="30"/>
    <x v="0"/>
    <n v="20"/>
    <n v="15"/>
    <n v="50"/>
  </r>
  <r>
    <n v="3362"/>
    <s v="Ursula Silva"/>
    <x v="2"/>
    <d v="2024-07-06T00:00:00"/>
    <x v="0"/>
    <n v="10"/>
    <s v="Annual"/>
    <x v="1"/>
    <s v="-"/>
    <x v="0"/>
    <n v="20"/>
    <n v="15"/>
    <n v="15"/>
  </r>
  <r>
    <n v="3363"/>
    <s v="Vanessa Moraes"/>
    <x v="1"/>
    <d v="2024-07-07T00:00:00"/>
    <x v="1"/>
    <n v="5"/>
    <s v="Monthly"/>
    <x v="1"/>
    <s v="-"/>
    <x v="1"/>
    <n v="0"/>
    <n v="1"/>
    <n v="4"/>
  </r>
  <r>
    <n v="3364"/>
    <s v="Waldir Junior"/>
    <x v="0"/>
    <d v="2024-07-08T00:00:00"/>
    <x v="0"/>
    <n v="15"/>
    <s v="Quarterly"/>
    <x v="0"/>
    <n v="30"/>
    <x v="0"/>
    <n v="20"/>
    <n v="7"/>
    <n v="58"/>
  </r>
  <r>
    <n v="3365"/>
    <s v="Xavier Lopes"/>
    <x v="2"/>
    <d v="2024-07-09T00:00:00"/>
    <x v="1"/>
    <n v="10"/>
    <s v="Monthly"/>
    <x v="1"/>
    <s v="-"/>
    <x v="0"/>
    <n v="20"/>
    <n v="10"/>
    <n v="20"/>
  </r>
  <r>
    <n v="3366"/>
    <s v="Yolanda Freitas"/>
    <x v="1"/>
    <d v="2024-07-10T00:00:00"/>
    <x v="0"/>
    <n v="5"/>
    <s v="Monthly"/>
    <x v="1"/>
    <s v="-"/>
    <x v="1"/>
    <n v="0"/>
    <n v="0"/>
    <n v="5"/>
  </r>
  <r>
    <n v="3367"/>
    <s v="Zacarias Nunes"/>
    <x v="0"/>
    <d v="2024-07-11T00:00:00"/>
    <x v="1"/>
    <n v="15"/>
    <s v="Quarterly"/>
    <x v="0"/>
    <n v="30"/>
    <x v="0"/>
    <n v="20"/>
    <n v="7"/>
    <n v="58"/>
  </r>
  <r>
    <n v="3368"/>
    <s v="Ana Clara Barreto"/>
    <x v="2"/>
    <d v="2024-07-12T00:00:00"/>
    <x v="0"/>
    <n v="10"/>
    <s v="Annual"/>
    <x v="1"/>
    <s v="-"/>
    <x v="0"/>
    <n v="20"/>
    <n v="10"/>
    <n v="20"/>
  </r>
  <r>
    <n v="3369"/>
    <s v="Bruno Henrique"/>
    <x v="1"/>
    <d v="2024-07-13T00:00:00"/>
    <x v="1"/>
    <n v="5"/>
    <s v="Quarterly"/>
    <x v="1"/>
    <s v="-"/>
    <x v="1"/>
    <n v="0"/>
    <n v="1"/>
    <n v="4"/>
  </r>
  <r>
    <n v="3370"/>
    <s v="Carlos Eduardo"/>
    <x v="0"/>
    <d v="2024-07-14T00:00:00"/>
    <x v="0"/>
    <n v="15"/>
    <s v="Monthly"/>
    <x v="0"/>
    <n v="30"/>
    <x v="0"/>
    <n v="20"/>
    <n v="15"/>
    <n v="50"/>
  </r>
  <r>
    <n v="3371"/>
    <s v="Débora Lima"/>
    <x v="2"/>
    <d v="2024-07-15T00:00:00"/>
    <x v="1"/>
    <n v="10"/>
    <s v="Monthly"/>
    <x v="1"/>
    <s v="-"/>
    <x v="0"/>
    <n v="20"/>
    <n v="5"/>
    <n v="25"/>
  </r>
  <r>
    <n v="3372"/>
    <s v="Elisa Neves"/>
    <x v="1"/>
    <d v="2024-07-16T00:00:00"/>
    <x v="0"/>
    <n v="5"/>
    <s v="Annual"/>
    <x v="1"/>
    <s v="-"/>
    <x v="1"/>
    <n v="0"/>
    <n v="0"/>
    <n v="5"/>
  </r>
  <r>
    <n v="3373"/>
    <s v="Fabiano Gomes"/>
    <x v="0"/>
    <d v="2024-07-17T00:00:00"/>
    <x v="1"/>
    <n v="15"/>
    <s v="Quarterly"/>
    <x v="0"/>
    <n v="30"/>
    <x v="0"/>
    <n v="20"/>
    <n v="20"/>
    <n v="45"/>
  </r>
  <r>
    <n v="3374"/>
    <s v="Gisele Oliveira"/>
    <x v="2"/>
    <d v="2024-07-18T00:00:00"/>
    <x v="0"/>
    <n v="10"/>
    <s v="Quarterly"/>
    <x v="1"/>
    <s v="-"/>
    <x v="0"/>
    <n v="20"/>
    <n v="12"/>
    <n v="18"/>
  </r>
  <r>
    <n v="3375"/>
    <s v="Héctor Silva"/>
    <x v="1"/>
    <d v="2024-07-19T00:00:00"/>
    <x v="1"/>
    <n v="5"/>
    <s v="Monthly"/>
    <x v="1"/>
    <s v="-"/>
    <x v="1"/>
    <n v="0"/>
    <n v="2"/>
    <n v="3"/>
  </r>
  <r>
    <n v="3376"/>
    <s v="Igor Martins"/>
    <x v="0"/>
    <d v="2024-07-20T00:00:00"/>
    <x v="0"/>
    <n v="15"/>
    <s v="Annual"/>
    <x v="0"/>
    <n v="30"/>
    <x v="0"/>
    <n v="20"/>
    <n v="5"/>
    <n v="60"/>
  </r>
  <r>
    <n v="3377"/>
    <s v="Joana Figueiredo"/>
    <x v="2"/>
    <d v="2024-07-21T00:00:00"/>
    <x v="1"/>
    <n v="10"/>
    <s v="Monthly"/>
    <x v="1"/>
    <s v="-"/>
    <x v="0"/>
    <n v="20"/>
    <n v="10"/>
    <n v="20"/>
  </r>
  <r>
    <n v="3378"/>
    <s v="Kleber Machado"/>
    <x v="1"/>
    <d v="2024-07-22T00:00:00"/>
    <x v="0"/>
    <n v="5"/>
    <s v="Quarterly"/>
    <x v="1"/>
    <s v="-"/>
    <x v="1"/>
    <n v="0"/>
    <n v="0"/>
    <n v="5"/>
  </r>
  <r>
    <n v="3379"/>
    <s v="Luciana Santos"/>
    <x v="0"/>
    <d v="2024-07-23T00:00:00"/>
    <x v="1"/>
    <n v="15"/>
    <s v="Monthly"/>
    <x v="0"/>
    <n v="30"/>
    <x v="0"/>
    <n v="20"/>
    <n v="3"/>
    <n v="62"/>
  </r>
  <r>
    <n v="3380"/>
    <s v="Marcos Teixeira"/>
    <x v="2"/>
    <d v="2024-07-24T00:00:00"/>
    <x v="0"/>
    <n v="10"/>
    <s v="Annual"/>
    <x v="1"/>
    <s v="-"/>
    <x v="0"/>
    <n v="20"/>
    <n v="15"/>
    <n v="15"/>
  </r>
  <r>
    <n v="3381"/>
    <s v="Natalia Costa"/>
    <x v="1"/>
    <d v="2024-07-25T00:00:00"/>
    <x v="1"/>
    <n v="5"/>
    <s v="Monthly"/>
    <x v="1"/>
    <s v="-"/>
    <x v="1"/>
    <n v="0"/>
    <n v="1"/>
    <n v="4"/>
  </r>
  <r>
    <n v="3382"/>
    <s v="Oscar Ribeiro"/>
    <x v="0"/>
    <d v="2024-07-26T00:00:00"/>
    <x v="0"/>
    <n v="15"/>
    <s v="Quarterly"/>
    <x v="0"/>
    <n v="30"/>
    <x v="0"/>
    <n v="20"/>
    <n v="7"/>
    <n v="58"/>
  </r>
  <r>
    <n v="3383"/>
    <s v="Patricia Almeida"/>
    <x v="2"/>
    <d v="2024-07-27T00:00:00"/>
    <x v="1"/>
    <n v="10"/>
    <s v="Monthly"/>
    <x v="1"/>
    <s v="-"/>
    <x v="0"/>
    <n v="20"/>
    <n v="10"/>
    <n v="20"/>
  </r>
  <r>
    <n v="3384"/>
    <s v="Quirino Junior"/>
    <x v="1"/>
    <d v="2024-07-28T00:00:00"/>
    <x v="0"/>
    <n v="5"/>
    <s v="Annual"/>
    <x v="1"/>
    <s v="-"/>
    <x v="1"/>
    <n v="0"/>
    <n v="0"/>
    <n v="5"/>
  </r>
  <r>
    <n v="3385"/>
    <s v="Renata Machado"/>
    <x v="0"/>
    <d v="2024-07-29T00:00:00"/>
    <x v="1"/>
    <n v="15"/>
    <s v="Monthly"/>
    <x v="0"/>
    <n v="30"/>
    <x v="0"/>
    <n v="20"/>
    <n v="20"/>
    <n v="45"/>
  </r>
  <r>
    <n v="3386"/>
    <s v="Sônia Alves"/>
    <x v="2"/>
    <d v="2024-07-30T00:00:00"/>
    <x v="0"/>
    <n v="10"/>
    <s v="Quarterly"/>
    <x v="1"/>
    <s v="-"/>
    <x v="0"/>
    <n v="20"/>
    <n v="15"/>
    <n v="15"/>
  </r>
  <r>
    <n v="3387"/>
    <s v="Tiago Nunes"/>
    <x v="1"/>
    <d v="2024-07-31T00:00:00"/>
    <x v="1"/>
    <n v="5"/>
    <s v="Monthly"/>
    <x v="1"/>
    <s v="-"/>
    <x v="1"/>
    <n v="0"/>
    <n v="1"/>
    <n v="4"/>
  </r>
  <r>
    <n v="3388"/>
    <s v="Ulysses Pereira"/>
    <x v="0"/>
    <d v="2024-08-01T00:00:00"/>
    <x v="0"/>
    <n v="15"/>
    <s v="Annual"/>
    <x v="0"/>
    <n v="30"/>
    <x v="0"/>
    <n v="20"/>
    <n v="3"/>
    <n v="62"/>
  </r>
  <r>
    <n v="3389"/>
    <s v="Vanessa Lima"/>
    <x v="2"/>
    <d v="2024-08-02T00:00:00"/>
    <x v="1"/>
    <n v="10"/>
    <s v="Monthly"/>
    <x v="1"/>
    <s v="-"/>
    <x v="0"/>
    <n v="20"/>
    <n v="10"/>
    <n v="20"/>
  </r>
  <r>
    <n v="3390"/>
    <s v="Wagner Santos"/>
    <x v="1"/>
    <d v="2024-08-03T00:00:00"/>
    <x v="0"/>
    <n v="5"/>
    <s v="Quarterly"/>
    <x v="1"/>
    <s v="-"/>
    <x v="1"/>
    <n v="0"/>
    <n v="0"/>
    <n v="5"/>
  </r>
  <r>
    <n v="3391"/>
    <s v="Xuxa Meneghel"/>
    <x v="0"/>
    <d v="2024-08-04T00:00:00"/>
    <x v="1"/>
    <n v="15"/>
    <s v="Monthly"/>
    <x v="0"/>
    <n v="30"/>
    <x v="0"/>
    <n v="20"/>
    <n v="15"/>
    <n v="50"/>
  </r>
  <r>
    <n v="3392"/>
    <s v="Yasmin Silva"/>
    <x v="2"/>
    <d v="2024-08-05T00:00:00"/>
    <x v="0"/>
    <n v="10"/>
    <s v="Annual"/>
    <x v="1"/>
    <s v="-"/>
    <x v="0"/>
    <n v="20"/>
    <n v="15"/>
    <n v="15"/>
  </r>
  <r>
    <n v="3393"/>
    <s v="Zacarias de Souza"/>
    <x v="1"/>
    <d v="2024-08-06T00:00:00"/>
    <x v="1"/>
    <n v="5"/>
    <s v="Monthly"/>
    <x v="1"/>
    <s v="-"/>
    <x v="1"/>
    <n v="0"/>
    <n v="1"/>
    <n v="4"/>
  </r>
  <r>
    <n v="3394"/>
    <s v="André Lima"/>
    <x v="0"/>
    <d v="2024-08-07T00:00:00"/>
    <x v="0"/>
    <n v="15"/>
    <s v="Quarterly"/>
    <x v="0"/>
    <n v="30"/>
    <x v="0"/>
    <n v="20"/>
    <n v="7"/>
    <n v="58"/>
  </r>
  <r>
    <n v="3395"/>
    <s v="Bianca Freitas"/>
    <x v="2"/>
    <d v="2024-08-08T00:00:00"/>
    <x v="1"/>
    <n v="10"/>
    <s v="Monthly"/>
    <x v="1"/>
    <s v="-"/>
    <x v="0"/>
    <n v="20"/>
    <n v="10"/>
    <n v="20"/>
  </r>
  <r>
    <n v="3396"/>
    <s v="Caio Mendes"/>
    <x v="1"/>
    <d v="2024-08-09T00:00:00"/>
    <x v="0"/>
    <n v="5"/>
    <s v="Annual"/>
    <x v="1"/>
    <s v="-"/>
    <x v="1"/>
    <n v="0"/>
    <n v="0"/>
    <n v="5"/>
  </r>
  <r>
    <n v="3397"/>
    <s v="Daniela Moura"/>
    <x v="0"/>
    <d v="2024-08-10T00:00:00"/>
    <x v="1"/>
    <n v="15"/>
    <s v="Monthly"/>
    <x v="0"/>
    <n v="30"/>
    <x v="0"/>
    <n v="20"/>
    <n v="20"/>
    <n v="45"/>
  </r>
  <r>
    <n v="3398"/>
    <s v="Eduardo Costa"/>
    <x v="2"/>
    <d v="2024-08-11T00:00:00"/>
    <x v="0"/>
    <n v="10"/>
    <s v="Quarterly"/>
    <x v="1"/>
    <s v="-"/>
    <x v="0"/>
    <n v="20"/>
    <n v="15"/>
    <n v="15"/>
  </r>
  <r>
    <n v="3399"/>
    <s v="Fernanda Gomes"/>
    <x v="1"/>
    <d v="2024-08-12T00:00:00"/>
    <x v="1"/>
    <n v="5"/>
    <s v="Monthly"/>
    <x v="1"/>
    <s v="-"/>
    <x v="1"/>
    <n v="0"/>
    <n v="1"/>
    <n v="4"/>
  </r>
  <r>
    <n v="3400"/>
    <s v="Guilherme Souza"/>
    <x v="0"/>
    <d v="2024-08-13T00:00:00"/>
    <x v="0"/>
    <n v="15"/>
    <s v="Annual"/>
    <x v="0"/>
    <n v="30"/>
    <x v="0"/>
    <n v="20"/>
    <n v="5"/>
    <n v="60"/>
  </r>
  <r>
    <n v="3401"/>
    <s v="Helena Ribeiro"/>
    <x v="2"/>
    <d v="2024-08-14T00:00:00"/>
    <x v="1"/>
    <n v="10"/>
    <s v="Monthly"/>
    <x v="1"/>
    <s v="-"/>
    <x v="0"/>
    <n v="20"/>
    <n v="10"/>
    <n v="20"/>
  </r>
  <r>
    <n v="3402"/>
    <s v="Igor Santos"/>
    <x v="1"/>
    <d v="2024-08-15T00:00:00"/>
    <x v="0"/>
    <n v="5"/>
    <s v="Quarterly"/>
    <x v="1"/>
    <s v="-"/>
    <x v="1"/>
    <n v="0"/>
    <n v="0"/>
    <n v="5"/>
  </r>
  <r>
    <n v="3403"/>
    <s v="João Carvalho"/>
    <x v="0"/>
    <d v="2024-08-16T00:00:00"/>
    <x v="1"/>
    <n v="15"/>
    <s v="Monthly"/>
    <x v="0"/>
    <n v="30"/>
    <x v="0"/>
    <n v="20"/>
    <n v="3"/>
    <n v="62"/>
  </r>
  <r>
    <n v="3404"/>
    <s v="Klara Fagundes"/>
    <x v="2"/>
    <d v="2024-08-17T00:00:00"/>
    <x v="0"/>
    <n v="10"/>
    <s v="Annual"/>
    <x v="1"/>
    <s v="-"/>
    <x v="0"/>
    <n v="20"/>
    <n v="15"/>
    <n v="15"/>
  </r>
  <r>
    <n v="3405"/>
    <s v="Lúcia Mendonça"/>
    <x v="1"/>
    <d v="2024-08-18T00:00:00"/>
    <x v="1"/>
    <n v="5"/>
    <s v="Monthly"/>
    <x v="1"/>
    <s v="-"/>
    <x v="1"/>
    <n v="0"/>
    <n v="1"/>
    <n v="4"/>
  </r>
  <r>
    <n v="3406"/>
    <s v="Marcelo Novaes"/>
    <x v="1"/>
    <d v="2024-08-19T00:00:00"/>
    <x v="0"/>
    <n v="5"/>
    <s v="Monthly"/>
    <x v="1"/>
    <s v="-"/>
    <x v="1"/>
    <n v="0"/>
    <n v="0"/>
    <n v="5"/>
  </r>
  <r>
    <n v="3407"/>
    <s v="Nina Pacheco"/>
    <x v="0"/>
    <d v="2024-08-20T00:00:00"/>
    <x v="1"/>
    <n v="15"/>
    <s v="Quarterly"/>
    <x v="0"/>
    <n v="30"/>
    <x v="0"/>
    <n v="20"/>
    <n v="7"/>
    <n v="58"/>
  </r>
  <r>
    <n v="3408"/>
    <s v="Olívia Rios"/>
    <x v="2"/>
    <d v="2024-08-21T00:00:00"/>
    <x v="0"/>
    <n v="10"/>
    <s v="Annual"/>
    <x v="1"/>
    <s v="-"/>
    <x v="0"/>
    <n v="20"/>
    <n v="10"/>
    <n v="20"/>
  </r>
  <r>
    <n v="3409"/>
    <s v="Paulo Quintana"/>
    <x v="1"/>
    <d v="2024-08-22T00:00:00"/>
    <x v="1"/>
    <n v="5"/>
    <s v="Quarterly"/>
    <x v="1"/>
    <s v="-"/>
    <x v="1"/>
    <n v="0"/>
    <n v="1"/>
    <n v="4"/>
  </r>
  <r>
    <n v="3410"/>
    <s v="Raquel Domingos"/>
    <x v="0"/>
    <d v="2024-08-23T00:00:00"/>
    <x v="0"/>
    <n v="15"/>
    <s v="Monthly"/>
    <x v="0"/>
    <n v="30"/>
    <x v="0"/>
    <n v="20"/>
    <n v="15"/>
    <n v="50"/>
  </r>
  <r>
    <n v="3411"/>
    <s v="Samuel Viana"/>
    <x v="2"/>
    <d v="2024-08-24T00:00:00"/>
    <x v="1"/>
    <n v="10"/>
    <s v="Monthly"/>
    <x v="1"/>
    <s v="-"/>
    <x v="0"/>
    <n v="20"/>
    <n v="5"/>
    <n v="25"/>
  </r>
  <r>
    <n v="3412"/>
    <s v="Tatiane Rocha"/>
    <x v="1"/>
    <d v="2024-08-25T00:00:00"/>
    <x v="0"/>
    <n v="5"/>
    <s v="Annual"/>
    <x v="1"/>
    <s v="-"/>
    <x v="1"/>
    <n v="0"/>
    <n v="0"/>
    <n v="5"/>
  </r>
  <r>
    <n v="3413"/>
    <s v="Ulysses Farias"/>
    <x v="0"/>
    <d v="2024-08-26T00:00:00"/>
    <x v="1"/>
    <n v="15"/>
    <s v="Quarterly"/>
    <x v="0"/>
    <n v="30"/>
    <x v="0"/>
    <n v="20"/>
    <n v="20"/>
    <n v="45"/>
  </r>
  <r>
    <n v="3414"/>
    <s v="Vanessa Moreira"/>
    <x v="2"/>
    <d v="2024-08-27T00:00:00"/>
    <x v="0"/>
    <n v="10"/>
    <s v="Quarterly"/>
    <x v="1"/>
    <s v="-"/>
    <x v="0"/>
    <n v="20"/>
    <n v="12"/>
    <n v="18"/>
  </r>
  <r>
    <n v="3415"/>
    <s v="William Carvalho"/>
    <x v="1"/>
    <d v="2024-08-28T00:00:00"/>
    <x v="1"/>
    <n v="5"/>
    <s v="Monthly"/>
    <x v="1"/>
    <s v="-"/>
    <x v="1"/>
    <n v="0"/>
    <n v="2"/>
    <n v="3"/>
  </r>
  <r>
    <n v="3416"/>
    <s v="Ximena Barros"/>
    <x v="0"/>
    <d v="2024-08-29T00:00:00"/>
    <x v="0"/>
    <n v="15"/>
    <s v="Annual"/>
    <x v="0"/>
    <n v="30"/>
    <x v="0"/>
    <n v="20"/>
    <n v="5"/>
    <n v="60"/>
  </r>
  <r>
    <n v="3417"/>
    <s v="Yara Machado"/>
    <x v="2"/>
    <d v="2024-08-30T00:00:00"/>
    <x v="1"/>
    <n v="10"/>
    <s v="Monthly"/>
    <x v="1"/>
    <s v="-"/>
    <x v="0"/>
    <n v="20"/>
    <n v="10"/>
    <n v="20"/>
  </r>
  <r>
    <n v="3418"/>
    <s v="Zacarias Costa"/>
    <x v="1"/>
    <d v="2024-08-31T00:00:00"/>
    <x v="0"/>
    <n v="5"/>
    <s v="Quarterly"/>
    <x v="1"/>
    <s v="-"/>
    <x v="1"/>
    <n v="0"/>
    <n v="0"/>
    <n v="5"/>
  </r>
  <r>
    <n v="3419"/>
    <s v="André Lopes"/>
    <x v="0"/>
    <d v="2024-09-01T00:00:00"/>
    <x v="1"/>
    <n v="15"/>
    <s v="Monthly"/>
    <x v="0"/>
    <n v="30"/>
    <x v="0"/>
    <n v="20"/>
    <n v="3"/>
    <n v="62"/>
  </r>
  <r>
    <n v="3420"/>
    <s v="Beatriz Souza"/>
    <x v="2"/>
    <d v="2024-09-02T00:00:00"/>
    <x v="0"/>
    <n v="10"/>
    <s v="Annual"/>
    <x v="1"/>
    <s v="-"/>
    <x v="0"/>
    <n v="20"/>
    <n v="15"/>
    <n v="15"/>
  </r>
  <r>
    <n v="3421"/>
    <s v="Caio Pereira"/>
    <x v="1"/>
    <d v="2024-09-03T00:00:00"/>
    <x v="1"/>
    <n v="5"/>
    <s v="Monthly"/>
    <x v="1"/>
    <s v="-"/>
    <x v="1"/>
    <n v="0"/>
    <n v="1"/>
    <n v="4"/>
  </r>
  <r>
    <n v="3422"/>
    <s v="Daniela Araújo"/>
    <x v="0"/>
    <d v="2024-09-04T00:00:00"/>
    <x v="0"/>
    <n v="15"/>
    <s v="Quarterly"/>
    <x v="0"/>
    <n v="30"/>
    <x v="0"/>
    <n v="20"/>
    <n v="7"/>
    <n v="58"/>
  </r>
  <r>
    <n v="3423"/>
    <s v="Eduardo Santos"/>
    <x v="2"/>
    <d v="2024-09-05T00:00:00"/>
    <x v="1"/>
    <n v="10"/>
    <s v="Monthly"/>
    <x v="1"/>
    <s v="-"/>
    <x v="0"/>
    <n v="20"/>
    <n v="10"/>
    <n v="20"/>
  </r>
  <r>
    <n v="3424"/>
    <s v="Fernanda Lima"/>
    <x v="1"/>
    <d v="2024-09-06T00:00:00"/>
    <x v="0"/>
    <n v="5"/>
    <s v="Annual"/>
    <x v="1"/>
    <s v="-"/>
    <x v="1"/>
    <n v="0"/>
    <n v="0"/>
    <n v="5"/>
  </r>
  <r>
    <n v="3425"/>
    <s v="Gabriel Teixeira"/>
    <x v="0"/>
    <d v="2024-09-07T00:00:00"/>
    <x v="1"/>
    <n v="15"/>
    <s v="Monthly"/>
    <x v="0"/>
    <n v="30"/>
    <x v="0"/>
    <n v="20"/>
    <n v="20"/>
    <n v="45"/>
  </r>
  <r>
    <n v="3426"/>
    <s v="Helena Ribeiro"/>
    <x v="2"/>
    <d v="2024-09-08T00:00:00"/>
    <x v="0"/>
    <n v="10"/>
    <s v="Quarterly"/>
    <x v="1"/>
    <s v="-"/>
    <x v="0"/>
    <n v="20"/>
    <n v="15"/>
    <n v="15"/>
  </r>
  <r>
    <n v="3427"/>
    <s v="Igor Mendes"/>
    <x v="1"/>
    <d v="2024-09-09T00:00:00"/>
    <x v="1"/>
    <n v="5"/>
    <s v="Monthly"/>
    <x v="1"/>
    <s v="-"/>
    <x v="1"/>
    <n v="0"/>
    <n v="1"/>
    <n v="4"/>
  </r>
  <r>
    <n v="3428"/>
    <s v="Joana Silveira"/>
    <x v="0"/>
    <d v="2024-09-10T00:00:00"/>
    <x v="0"/>
    <n v="15"/>
    <s v="Annual"/>
    <x v="0"/>
    <n v="30"/>
    <x v="0"/>
    <n v="20"/>
    <n v="3"/>
    <n v="62"/>
  </r>
  <r>
    <n v="3429"/>
    <s v="Lucas Martins"/>
    <x v="2"/>
    <d v="2024-09-11T00:00:00"/>
    <x v="1"/>
    <n v="10"/>
    <s v="Monthly"/>
    <x v="1"/>
    <s v="-"/>
    <x v="0"/>
    <n v="20"/>
    <n v="10"/>
    <n v="20"/>
  </r>
  <r>
    <n v="3430"/>
    <s v="Marcela Gouveia"/>
    <x v="1"/>
    <d v="2024-09-12T00:00:00"/>
    <x v="0"/>
    <n v="5"/>
    <s v="Quarterly"/>
    <x v="1"/>
    <s v="-"/>
    <x v="1"/>
    <n v="0"/>
    <n v="0"/>
    <n v="5"/>
  </r>
  <r>
    <n v="3431"/>
    <s v="Nicolas Borges"/>
    <x v="0"/>
    <d v="2024-09-13T00:00:00"/>
    <x v="1"/>
    <n v="15"/>
    <s v="Monthly"/>
    <x v="0"/>
    <n v="30"/>
    <x v="0"/>
    <n v="20"/>
    <n v="15"/>
    <n v="50"/>
  </r>
  <r>
    <n v="3432"/>
    <s v="Olivia Freitas"/>
    <x v="2"/>
    <d v="2024-09-14T00:00:00"/>
    <x v="0"/>
    <n v="10"/>
    <s v="Annual"/>
    <x v="1"/>
    <s v="-"/>
    <x v="0"/>
    <n v="20"/>
    <n v="15"/>
    <n v="15"/>
  </r>
  <r>
    <n v="3433"/>
    <s v="Paulo Nogueira"/>
    <x v="1"/>
    <d v="2024-09-15T00:00:00"/>
    <x v="1"/>
    <n v="5"/>
    <s v="Monthly"/>
    <x v="1"/>
    <s v="-"/>
    <x v="1"/>
    <n v="0"/>
    <n v="1"/>
    <n v="4"/>
  </r>
  <r>
    <n v="3434"/>
    <s v="Raquel Andrade"/>
    <x v="0"/>
    <d v="2024-09-16T00:00:00"/>
    <x v="0"/>
    <n v="15"/>
    <s v="Quarterly"/>
    <x v="0"/>
    <n v="30"/>
    <x v="0"/>
    <n v="20"/>
    <n v="7"/>
    <n v="58"/>
  </r>
  <r>
    <n v="3435"/>
    <s v="Sônia Carvalho"/>
    <x v="2"/>
    <d v="2024-09-17T00:00:00"/>
    <x v="1"/>
    <n v="10"/>
    <s v="Monthly"/>
    <x v="1"/>
    <s v="-"/>
    <x v="0"/>
    <n v="20"/>
    <n v="10"/>
    <n v="20"/>
  </r>
  <r>
    <n v="3436"/>
    <s v="Tiago Rodrigues"/>
    <x v="1"/>
    <d v="2024-09-18T00:00:00"/>
    <x v="0"/>
    <n v="5"/>
    <s v="Monthly"/>
    <x v="1"/>
    <s v="-"/>
    <x v="1"/>
    <n v="0"/>
    <n v="0"/>
    <n v="5"/>
  </r>
  <r>
    <n v="3437"/>
    <s v="Ursula Monteiro"/>
    <x v="0"/>
    <d v="2024-09-19T00:00:00"/>
    <x v="1"/>
    <n v="15"/>
    <s v="Quarterly"/>
    <x v="0"/>
    <n v="30"/>
    <x v="0"/>
    <n v="20"/>
    <n v="7"/>
    <n v="58"/>
  </r>
  <r>
    <n v="3438"/>
    <s v="Vanessa Pereira"/>
    <x v="2"/>
    <d v="2024-09-20T00:00:00"/>
    <x v="0"/>
    <n v="10"/>
    <s v="Annual"/>
    <x v="1"/>
    <s v="-"/>
    <x v="0"/>
    <n v="20"/>
    <n v="10"/>
    <n v="20"/>
  </r>
  <r>
    <n v="3439"/>
    <s v="Walter Silva"/>
    <x v="1"/>
    <d v="2024-09-21T00:00:00"/>
    <x v="1"/>
    <n v="5"/>
    <s v="Quarterly"/>
    <x v="1"/>
    <s v="-"/>
    <x v="1"/>
    <n v="0"/>
    <n v="1"/>
    <n v="4"/>
  </r>
  <r>
    <n v="3440"/>
    <s v="Xavier Almeida"/>
    <x v="0"/>
    <d v="2024-09-22T00:00:00"/>
    <x v="0"/>
    <n v="15"/>
    <s v="Monthly"/>
    <x v="0"/>
    <n v="30"/>
    <x v="0"/>
    <n v="20"/>
    <n v="15"/>
    <n v="50"/>
  </r>
  <r>
    <n v="3441"/>
    <s v="Yasmine Correia"/>
    <x v="2"/>
    <d v="2024-09-23T00:00:00"/>
    <x v="1"/>
    <n v="10"/>
    <s v="Monthly"/>
    <x v="1"/>
    <s v="-"/>
    <x v="0"/>
    <n v="20"/>
    <n v="5"/>
    <n v="25"/>
  </r>
  <r>
    <n v="3442"/>
    <s v="Zacarias Almeida"/>
    <x v="1"/>
    <d v="2024-09-24T00:00:00"/>
    <x v="0"/>
    <n v="5"/>
    <s v="Annual"/>
    <x v="1"/>
    <s v="-"/>
    <x v="1"/>
    <n v="0"/>
    <n v="0"/>
    <n v="5"/>
  </r>
  <r>
    <n v="3443"/>
    <s v="Amanda Costa"/>
    <x v="0"/>
    <d v="2024-09-25T00:00:00"/>
    <x v="1"/>
    <n v="15"/>
    <s v="Quarterly"/>
    <x v="0"/>
    <n v="30"/>
    <x v="0"/>
    <n v="20"/>
    <n v="20"/>
    <n v="45"/>
  </r>
  <r>
    <n v="3444"/>
    <s v="Bruno Ferreira"/>
    <x v="2"/>
    <d v="2024-09-26T00:00:00"/>
    <x v="0"/>
    <n v="10"/>
    <s v="Quarterly"/>
    <x v="1"/>
    <s v="-"/>
    <x v="0"/>
    <n v="20"/>
    <n v="12"/>
    <n v="18"/>
  </r>
  <r>
    <n v="3445"/>
    <s v="Carla Dias"/>
    <x v="1"/>
    <d v="2024-09-27T00:00:00"/>
    <x v="1"/>
    <n v="5"/>
    <s v="Monthly"/>
    <x v="1"/>
    <s v="-"/>
    <x v="1"/>
    <n v="0"/>
    <n v="2"/>
    <n v="3"/>
  </r>
  <r>
    <n v="3446"/>
    <s v="Diogo Martins"/>
    <x v="0"/>
    <d v="2024-09-28T00:00:00"/>
    <x v="0"/>
    <n v="15"/>
    <s v="Annual"/>
    <x v="0"/>
    <n v="30"/>
    <x v="0"/>
    <n v="20"/>
    <n v="5"/>
    <n v="60"/>
  </r>
  <r>
    <n v="3447"/>
    <s v="Elisa Campos"/>
    <x v="2"/>
    <d v="2024-09-29T00:00:00"/>
    <x v="1"/>
    <n v="10"/>
    <s v="Monthly"/>
    <x v="1"/>
    <s v="-"/>
    <x v="0"/>
    <n v="20"/>
    <n v="10"/>
    <n v="20"/>
  </r>
  <r>
    <n v="3448"/>
    <s v="Fabiana Lima"/>
    <x v="1"/>
    <d v="2024-09-30T00:00:00"/>
    <x v="0"/>
    <n v="5"/>
    <s v="Quarterly"/>
    <x v="1"/>
    <s v="-"/>
    <x v="1"/>
    <n v="0"/>
    <n v="0"/>
    <n v="5"/>
  </r>
  <r>
    <n v="3449"/>
    <s v="Gabriel Santos"/>
    <x v="0"/>
    <d v="2024-10-01T00:00:00"/>
    <x v="1"/>
    <n v="15"/>
    <s v="Monthly"/>
    <x v="0"/>
    <n v="30"/>
    <x v="0"/>
    <n v="20"/>
    <n v="3"/>
    <n v="62"/>
  </r>
  <r>
    <n v="3450"/>
    <s v="Helena Ferreira"/>
    <x v="2"/>
    <d v="2024-10-02T00:00:00"/>
    <x v="0"/>
    <n v="10"/>
    <s v="Annual"/>
    <x v="1"/>
    <s v="-"/>
    <x v="0"/>
    <n v="20"/>
    <n v="15"/>
    <n v="15"/>
  </r>
  <r>
    <n v="3451"/>
    <s v="Ígor Nunes"/>
    <x v="1"/>
    <d v="2024-10-03T00:00:00"/>
    <x v="1"/>
    <n v="5"/>
    <s v="Monthly"/>
    <x v="1"/>
    <s v="-"/>
    <x v="1"/>
    <n v="0"/>
    <n v="1"/>
    <n v="4"/>
  </r>
  <r>
    <n v="3452"/>
    <s v="Joana Silveira"/>
    <x v="0"/>
    <d v="2024-10-04T00:00:00"/>
    <x v="0"/>
    <n v="15"/>
    <s v="Quarterly"/>
    <x v="0"/>
    <n v="30"/>
    <x v="0"/>
    <n v="20"/>
    <n v="7"/>
    <n v="58"/>
  </r>
  <r>
    <n v="3453"/>
    <s v="Kléber Oliveira"/>
    <x v="2"/>
    <d v="2024-10-05T00:00:00"/>
    <x v="1"/>
    <n v="10"/>
    <s v="Monthly"/>
    <x v="1"/>
    <s v="-"/>
    <x v="0"/>
    <n v="20"/>
    <n v="10"/>
    <n v="20"/>
  </r>
  <r>
    <n v="3454"/>
    <s v="Luciana Morais"/>
    <x v="1"/>
    <d v="2024-10-06T00:00:00"/>
    <x v="0"/>
    <n v="5"/>
    <s v="Annual"/>
    <x v="1"/>
    <s v="-"/>
    <x v="1"/>
    <n v="0"/>
    <n v="0"/>
    <n v="5"/>
  </r>
  <r>
    <n v="3455"/>
    <s v="Marcos Vinícius"/>
    <x v="0"/>
    <d v="2024-10-07T00:00:00"/>
    <x v="1"/>
    <n v="15"/>
    <s v="Monthly"/>
    <x v="0"/>
    <n v="30"/>
    <x v="0"/>
    <n v="20"/>
    <n v="20"/>
    <n v="45"/>
  </r>
  <r>
    <n v="3456"/>
    <s v="Natália Barros"/>
    <x v="2"/>
    <d v="2024-10-08T00:00:00"/>
    <x v="0"/>
    <n v="10"/>
    <s v="Quarterly"/>
    <x v="1"/>
    <s v="-"/>
    <x v="0"/>
    <n v="20"/>
    <n v="15"/>
    <n v="15"/>
  </r>
  <r>
    <n v="3457"/>
    <s v="Oscar Sampaio"/>
    <x v="1"/>
    <d v="2024-10-09T00:00:00"/>
    <x v="1"/>
    <n v="5"/>
    <s v="Monthly"/>
    <x v="1"/>
    <s v="-"/>
    <x v="1"/>
    <n v="0"/>
    <n v="1"/>
    <n v="4"/>
  </r>
  <r>
    <n v="3458"/>
    <s v="Patrícia Leite"/>
    <x v="0"/>
    <d v="2024-10-10T00:00:00"/>
    <x v="0"/>
    <n v="15"/>
    <s v="Annual"/>
    <x v="0"/>
    <n v="30"/>
    <x v="0"/>
    <n v="20"/>
    <n v="3"/>
    <n v="62"/>
  </r>
  <r>
    <n v="3459"/>
    <s v="Quênia Rocha"/>
    <x v="2"/>
    <d v="2024-10-11T00:00:00"/>
    <x v="1"/>
    <n v="10"/>
    <s v="Monthly"/>
    <x v="1"/>
    <s v="-"/>
    <x v="0"/>
    <n v="20"/>
    <n v="10"/>
    <n v="20"/>
  </r>
  <r>
    <n v="3460"/>
    <s v="Rafael Torres"/>
    <x v="1"/>
    <d v="2024-10-12T00:00:00"/>
    <x v="0"/>
    <n v="5"/>
    <s v="Quarterly"/>
    <x v="1"/>
    <s v="-"/>
    <x v="1"/>
    <n v="0"/>
    <n v="0"/>
    <n v="5"/>
  </r>
  <r>
    <n v="3461"/>
    <s v="Sandra Gouveia"/>
    <x v="0"/>
    <d v="2024-10-13T00:00:00"/>
    <x v="1"/>
    <n v="15"/>
    <s v="Monthly"/>
    <x v="0"/>
    <n v="30"/>
    <x v="0"/>
    <n v="20"/>
    <n v="15"/>
    <n v="50"/>
  </r>
  <r>
    <n v="3462"/>
    <s v="Tiago Lacerda"/>
    <x v="2"/>
    <d v="2024-10-14T00:00:00"/>
    <x v="0"/>
    <n v="10"/>
    <s v="Annual"/>
    <x v="1"/>
    <s v="-"/>
    <x v="0"/>
    <n v="20"/>
    <n v="15"/>
    <n v="15"/>
  </r>
  <r>
    <n v="3463"/>
    <s v="Ursula Fonseca"/>
    <x v="1"/>
    <d v="2024-10-15T00:00:00"/>
    <x v="1"/>
    <n v="5"/>
    <s v="Monthly"/>
    <x v="1"/>
    <s v="-"/>
    <x v="1"/>
    <n v="0"/>
    <n v="1"/>
    <n v="4"/>
  </r>
  <r>
    <n v="3464"/>
    <s v="Vanessa Andrade"/>
    <x v="0"/>
    <d v="2024-10-16T00:00:00"/>
    <x v="0"/>
    <n v="15"/>
    <s v="Quarterly"/>
    <x v="0"/>
    <n v="30"/>
    <x v="0"/>
    <n v="20"/>
    <n v="7"/>
    <n v="58"/>
  </r>
  <r>
    <n v="3465"/>
    <s v="William Castro"/>
    <x v="2"/>
    <d v="2024-10-17T00:00:00"/>
    <x v="1"/>
    <n v="10"/>
    <s v="Monthly"/>
    <x v="1"/>
    <s v="-"/>
    <x v="0"/>
    <n v="20"/>
    <n v="10"/>
    <n v="20"/>
  </r>
  <r>
    <n v="3466"/>
    <s v="Xavier Monteiro"/>
    <x v="1"/>
    <d v="2024-10-18T00:00:00"/>
    <x v="0"/>
    <n v="5"/>
    <s v="Annual"/>
    <x v="1"/>
    <s v="-"/>
    <x v="1"/>
    <n v="0"/>
    <n v="0"/>
    <n v="5"/>
  </r>
  <r>
    <n v="3467"/>
    <s v="Yasmin Figueira"/>
    <x v="0"/>
    <d v="2024-10-19T00:00:00"/>
    <x v="1"/>
    <n v="15"/>
    <s v="Monthly"/>
    <x v="0"/>
    <n v="30"/>
    <x v="0"/>
    <n v="20"/>
    <n v="15"/>
    <n v="50"/>
  </r>
  <r>
    <n v="3468"/>
    <s v="Zacarias Mendonça"/>
    <x v="2"/>
    <d v="2024-10-20T00:00:00"/>
    <x v="0"/>
    <n v="10"/>
    <s v="Quarterly"/>
    <x v="1"/>
    <s v="-"/>
    <x v="0"/>
    <n v="20"/>
    <n v="12"/>
    <n v="18"/>
  </r>
  <r>
    <n v="3469"/>
    <s v="Amanda Menezes"/>
    <x v="1"/>
    <d v="2024-10-21T00:00:00"/>
    <x v="1"/>
    <n v="5"/>
    <s v="Monthly"/>
    <x v="1"/>
    <s v="-"/>
    <x v="1"/>
    <n v="0"/>
    <n v="2"/>
    <n v="3"/>
  </r>
  <r>
    <n v="3470"/>
    <s v="Bruno Santos"/>
    <x v="0"/>
    <d v="2024-10-22T00:00:00"/>
    <x v="0"/>
    <n v="15"/>
    <s v="Annual"/>
    <x v="0"/>
    <n v="30"/>
    <x v="0"/>
    <n v="20"/>
    <n v="5"/>
    <n v="60"/>
  </r>
  <r>
    <n v="3471"/>
    <s v="Carla Ferreira"/>
    <x v="2"/>
    <d v="2024-10-23T00:00:00"/>
    <x v="1"/>
    <n v="10"/>
    <s v="Monthly"/>
    <x v="1"/>
    <s v="-"/>
    <x v="0"/>
    <n v="20"/>
    <n v="10"/>
    <n v="20"/>
  </r>
  <r>
    <n v="3472"/>
    <s v="Diogo Alves"/>
    <x v="1"/>
    <d v="2024-10-24T00:00:00"/>
    <x v="0"/>
    <n v="5"/>
    <s v="Quarterly"/>
    <x v="1"/>
    <s v="-"/>
    <x v="1"/>
    <n v="0"/>
    <n v="0"/>
    <n v="5"/>
  </r>
  <r>
    <n v="3473"/>
    <s v="Elisa Neves"/>
    <x v="0"/>
    <d v="2024-10-25T00:00:00"/>
    <x v="1"/>
    <n v="15"/>
    <s v="Monthly"/>
    <x v="0"/>
    <n v="30"/>
    <x v="0"/>
    <n v="20"/>
    <n v="3"/>
    <n v="62"/>
  </r>
  <r>
    <n v="3474"/>
    <s v="Fabiano Pires"/>
    <x v="2"/>
    <d v="2024-10-26T00:00:00"/>
    <x v="0"/>
    <n v="10"/>
    <s v="Annual"/>
    <x v="1"/>
    <s v="-"/>
    <x v="0"/>
    <n v="20"/>
    <n v="15"/>
    <n v="15"/>
  </r>
  <r>
    <n v="3475"/>
    <s v="Giovana Ribeiro"/>
    <x v="1"/>
    <d v="2024-10-27T00:00:00"/>
    <x v="1"/>
    <n v="5"/>
    <s v="Monthly"/>
    <x v="1"/>
    <s v="-"/>
    <x v="1"/>
    <n v="0"/>
    <n v="1"/>
    <n v="4"/>
  </r>
  <r>
    <n v="3476"/>
    <s v="Hélio Costa"/>
    <x v="0"/>
    <d v="2024-10-28T00:00:00"/>
    <x v="0"/>
    <n v="15"/>
    <s v="Quarterly"/>
    <x v="0"/>
    <n v="30"/>
    <x v="0"/>
    <n v="20"/>
    <n v="7"/>
    <n v="58"/>
  </r>
  <r>
    <n v="3477"/>
    <s v="Íris Loureiro"/>
    <x v="2"/>
    <d v="2024-10-29T00:00:00"/>
    <x v="1"/>
    <n v="10"/>
    <s v="Monthly"/>
    <x v="1"/>
    <s v="-"/>
    <x v="0"/>
    <n v="20"/>
    <n v="10"/>
    <n v="20"/>
  </r>
  <r>
    <n v="3478"/>
    <s v="João Pereira"/>
    <x v="1"/>
    <d v="2024-10-30T00:00:00"/>
    <x v="0"/>
    <n v="5"/>
    <s v="Annual"/>
    <x v="1"/>
    <s v="-"/>
    <x v="1"/>
    <n v="0"/>
    <n v="0"/>
    <n v="5"/>
  </r>
  <r>
    <n v="3479"/>
    <s v="Klara Silva"/>
    <x v="0"/>
    <d v="2024-10-31T00:00:00"/>
    <x v="1"/>
    <n v="15"/>
    <s v="Monthly"/>
    <x v="0"/>
    <n v="30"/>
    <x v="0"/>
    <n v="20"/>
    <n v="20"/>
    <n v="45"/>
  </r>
  <r>
    <n v="3480"/>
    <s v="Luciana Barros"/>
    <x v="2"/>
    <d v="2024-11-01T00:00:00"/>
    <x v="0"/>
    <n v="10"/>
    <s v="Quarterly"/>
    <x v="1"/>
    <s v="-"/>
    <x v="0"/>
    <n v="20"/>
    <n v="15"/>
    <n v="15"/>
  </r>
  <r>
    <n v="3481"/>
    <s v="Marcos Gomes"/>
    <x v="1"/>
    <d v="2024-11-02T00:00:00"/>
    <x v="1"/>
    <n v="5"/>
    <s v="Monthly"/>
    <x v="1"/>
    <s v="-"/>
    <x v="1"/>
    <n v="0"/>
    <n v="1"/>
    <n v="4"/>
  </r>
  <r>
    <n v="3482"/>
    <s v="Natália Soares"/>
    <x v="0"/>
    <d v="2024-11-03T00:00:00"/>
    <x v="0"/>
    <n v="15"/>
    <s v="Annual"/>
    <x v="0"/>
    <n v="30"/>
    <x v="0"/>
    <n v="20"/>
    <n v="3"/>
    <n v="62"/>
  </r>
  <r>
    <n v="3483"/>
    <s v="Oscar Machado"/>
    <x v="2"/>
    <d v="2024-11-04T00:00:00"/>
    <x v="1"/>
    <n v="10"/>
    <s v="Monthly"/>
    <x v="1"/>
    <s v="-"/>
    <x v="0"/>
    <n v="20"/>
    <n v="10"/>
    <n v="20"/>
  </r>
  <r>
    <n v="3484"/>
    <s v="Patrícia Lima"/>
    <x v="1"/>
    <d v="2024-11-05T00:00:00"/>
    <x v="0"/>
    <n v="5"/>
    <s v="Quarterly"/>
    <x v="1"/>
    <s v="-"/>
    <x v="1"/>
    <n v="0"/>
    <n v="0"/>
    <n v="5"/>
  </r>
  <r>
    <n v="3485"/>
    <s v="Quirino Neto"/>
    <x v="0"/>
    <d v="2024-11-06T00:00:00"/>
    <x v="1"/>
    <n v="15"/>
    <s v="Monthly"/>
    <x v="0"/>
    <n v="30"/>
    <x v="0"/>
    <n v="20"/>
    <n v="15"/>
    <n v="50"/>
  </r>
  <r>
    <n v="3486"/>
    <s v="Rafaela Souza"/>
    <x v="1"/>
    <d v="2024-11-07T00:00:00"/>
    <x v="0"/>
    <n v="5"/>
    <s v="Monthly"/>
    <x v="1"/>
    <s v="-"/>
    <x v="1"/>
    <n v="0"/>
    <n v="0"/>
    <n v="5"/>
  </r>
  <r>
    <n v="3487"/>
    <s v="Sandro Almeida"/>
    <x v="0"/>
    <d v="2024-11-08T00:00:00"/>
    <x v="1"/>
    <n v="15"/>
    <s v="Quarterly"/>
    <x v="0"/>
    <n v="30"/>
    <x v="0"/>
    <n v="20"/>
    <n v="7"/>
    <n v="58"/>
  </r>
  <r>
    <n v="3488"/>
    <s v="Tânia Ribeiro"/>
    <x v="2"/>
    <d v="2024-11-09T00:00:00"/>
    <x v="0"/>
    <n v="10"/>
    <s v="Annual"/>
    <x v="1"/>
    <s v="-"/>
    <x v="0"/>
    <n v="20"/>
    <n v="10"/>
    <n v="20"/>
  </r>
  <r>
    <n v="3489"/>
    <s v="Ugo Dias"/>
    <x v="1"/>
    <d v="2024-11-10T00:00:00"/>
    <x v="1"/>
    <n v="5"/>
    <s v="Quarterly"/>
    <x v="1"/>
    <s v="-"/>
    <x v="1"/>
    <n v="0"/>
    <n v="1"/>
    <n v="4"/>
  </r>
  <r>
    <n v="3490"/>
    <s v="Valéria Lima"/>
    <x v="0"/>
    <d v="2024-11-11T00:00:00"/>
    <x v="0"/>
    <n v="15"/>
    <s v="Monthly"/>
    <x v="0"/>
    <n v="30"/>
    <x v="0"/>
    <n v="20"/>
    <n v="15"/>
    <n v="50"/>
  </r>
  <r>
    <n v="3491"/>
    <s v="William Fernandes"/>
    <x v="2"/>
    <d v="2024-11-12T00:00:00"/>
    <x v="1"/>
    <n v="10"/>
    <s v="Monthly"/>
    <x v="1"/>
    <s v="-"/>
    <x v="0"/>
    <n v="20"/>
    <n v="5"/>
    <n v="25"/>
  </r>
  <r>
    <n v="3492"/>
    <s v="Xuxa Mendes"/>
    <x v="1"/>
    <d v="2024-11-13T00:00:00"/>
    <x v="0"/>
    <n v="5"/>
    <s v="Annual"/>
    <x v="1"/>
    <s v="-"/>
    <x v="1"/>
    <n v="0"/>
    <n v="0"/>
    <n v="5"/>
  </r>
  <r>
    <n v="3493"/>
    <s v="Ygor Farias"/>
    <x v="0"/>
    <d v="2024-11-14T00:00:00"/>
    <x v="1"/>
    <n v="15"/>
    <s v="Quarterly"/>
    <x v="0"/>
    <n v="30"/>
    <x v="0"/>
    <n v="20"/>
    <n v="20"/>
    <n v="45"/>
  </r>
  <r>
    <n v="3494"/>
    <s v="Zilda Barros"/>
    <x v="2"/>
    <d v="2024-11-15T00:00:00"/>
    <x v="0"/>
    <n v="10"/>
    <s v="Quarterly"/>
    <x v="1"/>
    <s v="-"/>
    <x v="0"/>
    <n v="20"/>
    <n v="12"/>
    <n v="18"/>
  </r>
  <r>
    <n v="3495"/>
    <s v="Amanda Santos"/>
    <x v="1"/>
    <d v="2024-11-16T00:00:00"/>
    <x v="1"/>
    <n v="5"/>
    <s v="Monthly"/>
    <x v="1"/>
    <s v="-"/>
    <x v="1"/>
    <n v="0"/>
    <n v="2"/>
    <n v="3"/>
  </r>
  <r>
    <n v="3496"/>
    <s v="Bruno Costa"/>
    <x v="0"/>
    <d v="2024-11-17T00:00:00"/>
    <x v="0"/>
    <n v="15"/>
    <s v="Annual"/>
    <x v="0"/>
    <n v="30"/>
    <x v="0"/>
    <n v="20"/>
    <n v="5"/>
    <n v="60"/>
  </r>
  <r>
    <n v="3497"/>
    <s v="Carla Rodrigues"/>
    <x v="2"/>
    <d v="2024-11-18T00:00:00"/>
    <x v="1"/>
    <n v="10"/>
    <s v="Monthly"/>
    <x v="1"/>
    <s v="-"/>
    <x v="0"/>
    <n v="20"/>
    <n v="10"/>
    <n v="20"/>
  </r>
  <r>
    <n v="3498"/>
    <s v="Diogo Pereira"/>
    <x v="1"/>
    <d v="2024-11-19T00:00:00"/>
    <x v="0"/>
    <n v="5"/>
    <s v="Quarterly"/>
    <x v="1"/>
    <s v="-"/>
    <x v="1"/>
    <n v="0"/>
    <n v="0"/>
    <n v="5"/>
  </r>
  <r>
    <n v="3499"/>
    <s v="Elisa Correia"/>
    <x v="0"/>
    <d v="2024-11-20T00:00:00"/>
    <x v="1"/>
    <n v="15"/>
    <s v="Monthly"/>
    <x v="0"/>
    <n v="30"/>
    <x v="0"/>
    <n v="20"/>
    <n v="3"/>
    <n v="62"/>
  </r>
  <r>
    <n v="3500"/>
    <s v="Fábio Lourenço"/>
    <x v="2"/>
    <d v="2024-11-21T00:00:00"/>
    <x v="0"/>
    <n v="10"/>
    <s v="Annual"/>
    <x v="1"/>
    <s v="-"/>
    <x v="0"/>
    <n v="20"/>
    <n v="15"/>
    <n v="15"/>
  </r>
  <r>
    <n v="3501"/>
    <s v="Gabriela Neves"/>
    <x v="1"/>
    <d v="2024-11-22T00:00:00"/>
    <x v="1"/>
    <n v="5"/>
    <s v="Monthly"/>
    <x v="1"/>
    <s v="-"/>
    <x v="1"/>
    <n v="0"/>
    <n v="1"/>
    <n v="4"/>
  </r>
  <r>
    <n v="3502"/>
    <s v="Henrique Gonçalves"/>
    <x v="0"/>
    <d v="2024-11-23T00:00:00"/>
    <x v="0"/>
    <n v="15"/>
    <s v="Quarterly"/>
    <x v="0"/>
    <n v="30"/>
    <x v="0"/>
    <n v="20"/>
    <n v="7"/>
    <n v="58"/>
  </r>
  <r>
    <n v="3503"/>
    <s v="Íris Santos"/>
    <x v="2"/>
    <d v="2024-11-24T00:00:00"/>
    <x v="1"/>
    <n v="10"/>
    <s v="Monthly"/>
    <x v="1"/>
    <s v="-"/>
    <x v="0"/>
    <n v="20"/>
    <n v="10"/>
    <n v="20"/>
  </r>
  <r>
    <n v="3504"/>
    <s v="João Marcelo Alves"/>
    <x v="1"/>
    <d v="2024-11-25T00:00:00"/>
    <x v="0"/>
    <n v="5"/>
    <s v="Annual"/>
    <x v="1"/>
    <s v="-"/>
    <x v="1"/>
    <n v="0"/>
    <n v="0"/>
    <n v="5"/>
  </r>
  <r>
    <n v="3505"/>
    <s v="Klara Fonseca"/>
    <x v="0"/>
    <d v="2024-11-26T00:00:00"/>
    <x v="1"/>
    <n v="15"/>
    <s v="Monthly"/>
    <x v="0"/>
    <n v="30"/>
    <x v="0"/>
    <n v="20"/>
    <n v="20"/>
    <n v="45"/>
  </r>
  <r>
    <n v="3506"/>
    <s v="Lucas Mendonça"/>
    <x v="2"/>
    <d v="2024-11-27T00:00:00"/>
    <x v="0"/>
    <n v="10"/>
    <s v="Quarterly"/>
    <x v="1"/>
    <s v="-"/>
    <x v="0"/>
    <n v="20"/>
    <n v="15"/>
    <n v="15"/>
  </r>
  <r>
    <n v="3507"/>
    <s v="Marcela Torres"/>
    <x v="1"/>
    <d v="2024-11-28T00:00:00"/>
    <x v="1"/>
    <n v="5"/>
    <s v="Monthly"/>
    <x v="1"/>
    <s v="-"/>
    <x v="1"/>
    <n v="0"/>
    <n v="1"/>
    <n v="4"/>
  </r>
  <r>
    <n v="3508"/>
    <s v="Natália Castro"/>
    <x v="0"/>
    <d v="2024-11-29T00:00:00"/>
    <x v="0"/>
    <n v="15"/>
    <s v="Annual"/>
    <x v="0"/>
    <n v="30"/>
    <x v="0"/>
    <n v="20"/>
    <n v="3"/>
    <n v="62"/>
  </r>
  <r>
    <n v="3509"/>
    <s v="Oscar Martins"/>
    <x v="2"/>
    <d v="2024-11-30T00:00:00"/>
    <x v="1"/>
    <n v="10"/>
    <s v="Monthly"/>
    <x v="1"/>
    <s v="-"/>
    <x v="0"/>
    <n v="20"/>
    <n v="10"/>
    <n v="20"/>
  </r>
  <r>
    <n v="3510"/>
    <s v="Patrícia Oliveira"/>
    <x v="1"/>
    <d v="2024-12-01T00:00:00"/>
    <x v="0"/>
    <n v="5"/>
    <s v="Quarterly"/>
    <x v="1"/>
    <s v="-"/>
    <x v="1"/>
    <n v="0"/>
    <n v="0"/>
    <n v="5"/>
  </r>
  <r>
    <n v="3511"/>
    <s v="Quentin Nogueira"/>
    <x v="0"/>
    <d v="2024-12-02T00:00:00"/>
    <x v="1"/>
    <n v="15"/>
    <s v="Monthly"/>
    <x v="0"/>
    <n v="30"/>
    <x v="0"/>
    <n v="20"/>
    <n v="15"/>
    <n v="50"/>
  </r>
  <r>
    <n v="3512"/>
    <s v="Raquel Silva"/>
    <x v="2"/>
    <d v="2024-12-03T00:00:00"/>
    <x v="0"/>
    <n v="10"/>
    <s v="Annual"/>
    <x v="1"/>
    <s v="-"/>
    <x v="0"/>
    <n v="20"/>
    <n v="15"/>
    <n v="15"/>
  </r>
  <r>
    <n v="3513"/>
    <s v="Sandro Gomes"/>
    <x v="1"/>
    <d v="2024-12-04T00:00:00"/>
    <x v="1"/>
    <n v="5"/>
    <s v="Monthly"/>
    <x v="1"/>
    <s v="-"/>
    <x v="1"/>
    <n v="0"/>
    <n v="1"/>
    <n v="4"/>
  </r>
  <r>
    <n v="3514"/>
    <s v="Tânia Machado"/>
    <x v="0"/>
    <d v="2024-12-05T00:00:00"/>
    <x v="0"/>
    <n v="15"/>
    <s v="Quarterly"/>
    <x v="0"/>
    <n v="30"/>
    <x v="0"/>
    <n v="20"/>
    <n v="7"/>
    <n v="58"/>
  </r>
  <r>
    <n v="3515"/>
    <s v="Ursula Silva"/>
    <x v="2"/>
    <d v="2024-12-06T00:00:00"/>
    <x v="1"/>
    <n v="10"/>
    <s v="Monthly"/>
    <x v="1"/>
    <s v="-"/>
    <x v="0"/>
    <n v="20"/>
    <n v="10"/>
    <n v="20"/>
  </r>
  <r>
    <n v="3516"/>
    <s v="Vanessa Moraes"/>
    <x v="1"/>
    <d v="2024-12-07T00:00:00"/>
    <x v="0"/>
    <n v="5"/>
    <s v="Annual"/>
    <x v="1"/>
    <s v="-"/>
    <x v="1"/>
    <n v="0"/>
    <n v="0"/>
    <n v="5"/>
  </r>
  <r>
    <n v="3517"/>
    <s v="William Carvalho"/>
    <x v="0"/>
    <d v="2024-12-08T00:00:00"/>
    <x v="1"/>
    <n v="15"/>
    <s v="Monthly"/>
    <x v="0"/>
    <n v="30"/>
    <x v="0"/>
    <n v="20"/>
    <n v="20"/>
    <n v="45"/>
  </r>
  <r>
    <n v="3518"/>
    <s v="Xavier Reis"/>
    <x v="2"/>
    <d v="2024-12-09T00:00:00"/>
    <x v="0"/>
    <n v="10"/>
    <s v="Quarterly"/>
    <x v="1"/>
    <s v="-"/>
    <x v="0"/>
    <n v="20"/>
    <n v="12"/>
    <n v="18"/>
  </r>
  <r>
    <n v="3519"/>
    <s v="Yasmin Rocha"/>
    <x v="1"/>
    <d v="2024-12-10T00:00:00"/>
    <x v="1"/>
    <n v="5"/>
    <s v="Monthly"/>
    <x v="1"/>
    <s v="-"/>
    <x v="1"/>
    <n v="0"/>
    <n v="2"/>
    <n v="3"/>
  </r>
  <r>
    <n v="3520"/>
    <s v="Zacarias Duarte"/>
    <x v="0"/>
    <d v="2024-12-11T00:00:00"/>
    <x v="0"/>
    <n v="15"/>
    <s v="Annual"/>
    <x v="0"/>
    <n v="30"/>
    <x v="0"/>
    <n v="20"/>
    <n v="5"/>
    <n v="60"/>
  </r>
  <r>
    <n v="3521"/>
    <s v="Amanda Freitas"/>
    <x v="2"/>
    <d v="2024-12-12T00:00:00"/>
    <x v="1"/>
    <n v="10"/>
    <s v="Monthly"/>
    <x v="1"/>
    <s v="-"/>
    <x v="0"/>
    <n v="20"/>
    <n v="10"/>
    <n v="20"/>
  </r>
  <r>
    <n v="3522"/>
    <s v="Bruno Almeida"/>
    <x v="1"/>
    <d v="2024-12-13T00:00:00"/>
    <x v="0"/>
    <n v="5"/>
    <s v="Quarterly"/>
    <x v="1"/>
    <s v="-"/>
    <x v="1"/>
    <n v="0"/>
    <n v="0"/>
    <n v="5"/>
  </r>
  <r>
    <n v="3523"/>
    <s v="Carla Siqueira"/>
    <x v="0"/>
    <d v="2024-12-14T00:00:00"/>
    <x v="1"/>
    <n v="15"/>
    <s v="Monthly"/>
    <x v="0"/>
    <n v="30"/>
    <x v="0"/>
    <n v="20"/>
    <n v="3"/>
    <n v="62"/>
  </r>
  <r>
    <n v="3524"/>
    <s v="Diogo Ramos"/>
    <x v="2"/>
    <d v="2024-12-15T00:00:00"/>
    <x v="0"/>
    <n v="10"/>
    <s v="Annual"/>
    <x v="1"/>
    <s v="-"/>
    <x v="0"/>
    <n v="20"/>
    <n v="15"/>
    <n v="15"/>
  </r>
  <r>
    <n v="3525"/>
    <s v="Elisa Magalhães"/>
    <x v="1"/>
    <d v="2024-12-16T00:00:00"/>
    <x v="1"/>
    <n v="5"/>
    <s v="Monthly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F8D54-2892-7F4A-A00F-DCED3D809600}" name="Tabela dinâ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6:B27" firstHeaderRow="1" firstDataRow="1" firstDataCol="0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Items count="1">
    <i/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267E6-8F3B-2C4F-B8A6-1E528954F3A4}" name="Tabela dinâ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4" firstHeaderRow="1" firstDataRow="1" firstDataCol="1"/>
  <pivotFields count="13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35B43-B034-054A-9653-A8981725E5D2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6:C19" firstHeaderRow="1" firstDataRow="1" firstDataCol="1"/>
  <pivotFields count="13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3D6B7-5CB7-CA44-AB69-93FC4D7AE01F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/>
  <pivotFields count="13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E9C9E-5F8A-844C-AE69-BA57C5DBDBDB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5:C9" firstHeaderRow="1" firstDataRow="1" firstDataCol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899F8-F5A8-6E42-AAC2-C61E7DB22165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3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Items count="1">
    <i/>
  </rowItems>
  <colItems count="1">
    <i/>
  </colItems>
  <dataFields count="1">
    <dataField name="Contagem de Subscrib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5C3D766-267A-E543-8F98-873511421F36}" sourceName="Plan">
  <pivotTables>
    <pivotTable tabId="3" name="Tabela dinâmica2"/>
    <pivotTable tabId="3" name="Tabela dinâmica1"/>
    <pivotTable tabId="3" name="Tabela dinâmica3"/>
    <pivotTable tabId="3" name="Tabela dinâmica4"/>
    <pivotTable tabId="3" name="Tabela dinâmica5"/>
    <pivotTable tabId="3" name="Tabela dinâmica6"/>
  </pivotTables>
  <data>
    <tabular pivotCacheId="345544476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7BF8272B-7C0D-9341-AFB4-CD19B338813B}" sourceName="Auto Renewal">
  <pivotTables>
    <pivotTable tabId="3" name="Tabela dinâmica3"/>
    <pivotTable tabId="3" name="Tabela dinâmica1"/>
    <pivotTable tabId="3" name="Tabela dinâmica2"/>
    <pivotTable tabId="3" name="Tabela dinâmica4"/>
    <pivotTable tabId="3" name="Tabela dinâmica5"/>
    <pivotTable tabId="3" name="Tabela dinâmica6"/>
  </pivotTables>
  <data>
    <tabular pivotCacheId="345544476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0C8145B4-4661-B34C-8CFE-E272913C824B}" sourceName="EA Play Season Pass">
  <pivotTables>
    <pivotTable tabId="3" name="Tabela dinâmica4"/>
    <pivotTable tabId="3" name="Tabela dinâmica1"/>
    <pivotTable tabId="3" name="Tabela dinâmica2"/>
    <pivotTable tabId="3" name="Tabela dinâmica3"/>
    <pivotTable tabId="3" name="Tabela dinâmica5"/>
    <pivotTable tabId="3" name="Tabela dinâmica6"/>
  </pivotTables>
  <data>
    <tabular pivotCacheId="345544476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0B44C827-9118-5244-9312-D67F1B4CB201}" sourceName="Minecraft Season Pass">
  <pivotTables>
    <pivotTable tabId="3" name="Tabela dinâmica5"/>
    <pivotTable tabId="3" name="Tabela dinâmica1"/>
    <pivotTable tabId="3" name="Tabela dinâmica2"/>
    <pivotTable tabId="3" name="Tabela dinâmica3"/>
    <pivotTable tabId="3" name="Tabela dinâmica4"/>
    <pivotTable tabId="3" name="Tabela dinâmica6"/>
  </pivotTables>
  <data>
    <tabular pivotCacheId="345544476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35AAEFE1-7948-904E-AE60-7582B9DB3A5D}" cache="SegmentaçãodeDados_Plan" caption="Plan" rowHeight="230716"/>
  <slicer name="Auto Renewal" xr10:uid="{ECC93B6E-99A4-0343-A6DD-7984E5C21ACA}" cache="SegmentaçãodeDados_Auto_Renewal" caption="Auto Renewal" rowHeight="230716"/>
  <slicer name="EA Play Season Pass" xr10:uid="{1D81ECFE-0F4E-DC4E-A6E4-C648DB356705}" cache="SegmentaçãodeDados_EA_Play_Season_Pass" caption="EA Play Season Pass" rowHeight="230716"/>
  <slicer name="Minecraft Season Pass" xr10:uid="{B982A6BD-87C0-AA40-BFF3-CAFF343900C7}" cache="SegmentaçãodeDados_Minecraft_Season_Pass" caption="Minecraft Season Pass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baseColWidth="10" defaultColWidth="8.83203125" defaultRowHeight="15" x14ac:dyDescent="0.2"/>
  <cols>
    <col min="9" max="9" width="3.5" customWidth="1"/>
  </cols>
  <sheetData>
    <row r="3" spans="2:16" ht="21" thickBot="1" x14ac:dyDescent="0.3">
      <c r="B3" s="1" t="s">
        <v>0</v>
      </c>
      <c r="C3" s="1"/>
      <c r="D3" s="1"/>
      <c r="E3" s="1"/>
      <c r="F3" s="1"/>
      <c r="G3" s="1"/>
      <c r="H3" s="1"/>
    </row>
    <row r="4" spans="2:16" ht="16" thickTop="1" x14ac:dyDescent="0.2"/>
    <row r="5" spans="2:16" x14ac:dyDescent="0.2">
      <c r="B5" s="3" t="s">
        <v>2</v>
      </c>
      <c r="C5" t="s">
        <v>8</v>
      </c>
      <c r="E5" s="7" t="s">
        <v>6</v>
      </c>
      <c r="F5" t="s">
        <v>7</v>
      </c>
    </row>
    <row r="6" spans="2:16" x14ac:dyDescent="0.2">
      <c r="B6" s="4" t="s">
        <v>3</v>
      </c>
      <c r="C6" t="s">
        <v>8</v>
      </c>
    </row>
    <row r="7" spans="2:16" x14ac:dyDescent="0.2">
      <c r="B7" s="5" t="s">
        <v>4</v>
      </c>
      <c r="C7" t="s">
        <v>9</v>
      </c>
    </row>
    <row r="8" spans="2:16" x14ac:dyDescent="0.2">
      <c r="B8" s="6" t="s">
        <v>5</v>
      </c>
      <c r="C8" t="s">
        <v>9</v>
      </c>
    </row>
    <row r="12" spans="2:16" ht="21" thickBot="1" x14ac:dyDescent="0.3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6" thickTop="1" x14ac:dyDescent="0.2">
      <c r="B13" s="2"/>
      <c r="C13" s="2"/>
      <c r="D13" s="2"/>
      <c r="E13" s="2"/>
      <c r="F13" s="2"/>
      <c r="G13" s="2"/>
      <c r="H13" s="2"/>
    </row>
    <row r="14" spans="2:16" x14ac:dyDescent="0.2">
      <c r="B14" s="2"/>
      <c r="C14" s="2"/>
      <c r="D14" s="2"/>
      <c r="E14" s="2"/>
      <c r="F14" s="2"/>
      <c r="G14" s="2"/>
      <c r="H14" s="2"/>
    </row>
    <row r="15" spans="2:16" x14ac:dyDescent="0.2">
      <c r="B15" s="2"/>
      <c r="C15" s="2"/>
      <c r="D15" s="2"/>
      <c r="E15" s="2"/>
      <c r="F15" s="2"/>
      <c r="G15" s="2"/>
      <c r="H15" s="2"/>
    </row>
    <row r="16" spans="2:16" x14ac:dyDescent="0.2">
      <c r="B16" s="2"/>
      <c r="C16" s="2"/>
      <c r="D16" s="2"/>
      <c r="E16" s="2"/>
      <c r="F16" s="2"/>
      <c r="G16" s="2"/>
      <c r="H16" s="2"/>
    </row>
    <row r="17" spans="2:8" x14ac:dyDescent="0.2">
      <c r="B17" s="2"/>
      <c r="C17" s="2"/>
      <c r="D17" s="2"/>
      <c r="E17" s="2"/>
      <c r="F17" s="2"/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x14ac:dyDescent="0.2">
      <c r="B20" s="2"/>
      <c r="C20" s="2"/>
      <c r="D20" s="2"/>
      <c r="E20" s="2"/>
      <c r="F20" s="2"/>
      <c r="G20" s="2"/>
      <c r="H20" s="2"/>
    </row>
    <row r="21" spans="2:8" x14ac:dyDescent="0.2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M296" sqref="A1:M296"/>
    </sheetView>
  </sheetViews>
  <sheetFormatPr baseColWidth="10" defaultColWidth="8.83203125" defaultRowHeight="15" x14ac:dyDescent="0.2"/>
  <cols>
    <col min="1" max="1" width="17.83203125" bestFit="1" customWidth="1"/>
    <col min="2" max="2" width="18.83203125" bestFit="1" customWidth="1"/>
    <col min="3" max="3" width="9.5" bestFit="1" customWidth="1"/>
    <col min="4" max="4" width="14.5" bestFit="1" customWidth="1"/>
    <col min="5" max="5" width="18" bestFit="1" customWidth="1"/>
    <col min="6" max="6" width="14.6640625" bestFit="1" customWidth="1"/>
    <col min="7" max="7" width="22" bestFit="1" customWidth="1"/>
    <col min="8" max="8" width="20.5" bestFit="1" customWidth="1"/>
    <col min="9" max="9" width="20.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" bestFit="1" customWidth="1"/>
  </cols>
  <sheetData>
    <row r="1" spans="1:13" ht="32" x14ac:dyDescent="0.2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C27"/>
  <sheetViews>
    <sheetView showGridLines="0" zoomScale="160" zoomScaleNormal="160" workbookViewId="0">
      <selection activeCell="F7" sqref="F7"/>
    </sheetView>
  </sheetViews>
  <sheetFormatPr baseColWidth="10" defaultColWidth="8.83203125" defaultRowHeight="15" x14ac:dyDescent="0.2"/>
  <cols>
    <col min="1" max="1" width="15.1640625" customWidth="1"/>
    <col min="2" max="2" width="16.83203125" bestFit="1" customWidth="1"/>
    <col min="3" max="3" width="22.6640625" bestFit="1" customWidth="1"/>
    <col min="4" max="4" width="30.5" bestFit="1" customWidth="1"/>
    <col min="5" max="5" width="6.33203125" customWidth="1"/>
    <col min="6" max="6" width="19.1640625" bestFit="1" customWidth="1"/>
    <col min="7" max="7" width="27.6640625" bestFit="1" customWidth="1"/>
    <col min="8" max="8" width="5.5" customWidth="1"/>
    <col min="9" max="9" width="21.1640625" bestFit="1" customWidth="1"/>
    <col min="10" max="11" width="35.1640625" bestFit="1" customWidth="1"/>
    <col min="12" max="15" width="9.6640625" bestFit="1" customWidth="1"/>
    <col min="16" max="16" width="15.5" bestFit="1" customWidth="1"/>
    <col min="17" max="17" width="12.1640625" bestFit="1" customWidth="1"/>
  </cols>
  <sheetData>
    <row r="2" spans="1:3" x14ac:dyDescent="0.2">
      <c r="B2" t="s">
        <v>313</v>
      </c>
    </row>
    <row r="3" spans="1:3" x14ac:dyDescent="0.2">
      <c r="A3" t="s">
        <v>314</v>
      </c>
      <c r="B3" s="12">
        <v>295</v>
      </c>
      <c r="C3">
        <f>GETPIVOTDATA("Subscriber ID",$B$2)</f>
        <v>295</v>
      </c>
    </row>
    <row r="5" spans="1:3" x14ac:dyDescent="0.2">
      <c r="B5" s="13" t="s">
        <v>315</v>
      </c>
      <c r="C5" t="s">
        <v>313</v>
      </c>
    </row>
    <row r="6" spans="1:3" x14ac:dyDescent="0.2">
      <c r="B6" s="14" t="s">
        <v>22</v>
      </c>
      <c r="C6" s="12">
        <v>101</v>
      </c>
    </row>
    <row r="7" spans="1:3" x14ac:dyDescent="0.2">
      <c r="B7" s="14" t="s">
        <v>26</v>
      </c>
      <c r="C7" s="12">
        <v>96</v>
      </c>
    </row>
    <row r="8" spans="1:3" x14ac:dyDescent="0.2">
      <c r="B8" s="14" t="s">
        <v>18</v>
      </c>
      <c r="C8" s="12">
        <v>98</v>
      </c>
    </row>
    <row r="9" spans="1:3" x14ac:dyDescent="0.2">
      <c r="A9" t="s">
        <v>317</v>
      </c>
      <c r="B9" s="14" t="s">
        <v>316</v>
      </c>
      <c r="C9" s="12">
        <v>295</v>
      </c>
    </row>
    <row r="11" spans="1:3" x14ac:dyDescent="0.2">
      <c r="B11" s="13" t="s">
        <v>315</v>
      </c>
      <c r="C11" t="s">
        <v>313</v>
      </c>
    </row>
    <row r="12" spans="1:3" x14ac:dyDescent="0.2">
      <c r="B12" s="14" t="s">
        <v>23</v>
      </c>
      <c r="C12" s="12">
        <v>147</v>
      </c>
    </row>
    <row r="13" spans="1:3" x14ac:dyDescent="0.2">
      <c r="B13" s="14" t="s">
        <v>19</v>
      </c>
      <c r="C13" s="12">
        <v>148</v>
      </c>
    </row>
    <row r="14" spans="1:3" x14ac:dyDescent="0.2">
      <c r="A14" t="s">
        <v>318</v>
      </c>
      <c r="B14" s="14" t="s">
        <v>316</v>
      </c>
      <c r="C14" s="12">
        <v>295</v>
      </c>
    </row>
    <row r="16" spans="1:3" x14ac:dyDescent="0.2">
      <c r="B16" s="13" t="s">
        <v>315</v>
      </c>
      <c r="C16" t="s">
        <v>313</v>
      </c>
    </row>
    <row r="17" spans="1:3" x14ac:dyDescent="0.2">
      <c r="B17" s="14" t="s">
        <v>23</v>
      </c>
      <c r="C17" s="12">
        <v>197</v>
      </c>
    </row>
    <row r="18" spans="1:3" x14ac:dyDescent="0.2">
      <c r="B18" s="14" t="s">
        <v>19</v>
      </c>
      <c r="C18" s="12">
        <v>98</v>
      </c>
    </row>
    <row r="19" spans="1:3" x14ac:dyDescent="0.2">
      <c r="A19" t="s">
        <v>319</v>
      </c>
      <c r="B19" s="14" t="s">
        <v>316</v>
      </c>
      <c r="C19" s="12">
        <v>295</v>
      </c>
    </row>
    <row r="21" spans="1:3" x14ac:dyDescent="0.2">
      <c r="B21" s="13" t="s">
        <v>315</v>
      </c>
      <c r="C21" t="s">
        <v>313</v>
      </c>
    </row>
    <row r="22" spans="1:3" x14ac:dyDescent="0.2">
      <c r="B22" s="14" t="s">
        <v>23</v>
      </c>
      <c r="C22" s="12">
        <v>101</v>
      </c>
    </row>
    <row r="23" spans="1:3" x14ac:dyDescent="0.2">
      <c r="B23" s="14" t="s">
        <v>19</v>
      </c>
      <c r="C23" s="12">
        <v>194</v>
      </c>
    </row>
    <row r="24" spans="1:3" x14ac:dyDescent="0.2">
      <c r="A24" t="s">
        <v>320</v>
      </c>
      <c r="B24" s="14" t="s">
        <v>316</v>
      </c>
      <c r="C24" s="12">
        <v>295</v>
      </c>
    </row>
    <row r="26" spans="1:3" x14ac:dyDescent="0.2">
      <c r="B26" t="s">
        <v>321</v>
      </c>
    </row>
    <row r="27" spans="1:3" x14ac:dyDescent="0.2">
      <c r="A27" t="s">
        <v>322</v>
      </c>
      <c r="B27" s="15">
        <v>7633</v>
      </c>
      <c r="C27" s="16">
        <f>GETPIVOTDATA("Total Value",$B$26)</f>
        <v>7633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B5:J16"/>
  <sheetViews>
    <sheetView showGridLines="0" tabSelected="1" zoomScale="140" zoomScaleNormal="140" workbookViewId="0">
      <selection activeCell="H24" sqref="H24"/>
    </sheetView>
  </sheetViews>
  <sheetFormatPr baseColWidth="10" defaultColWidth="8.83203125" defaultRowHeight="15" x14ac:dyDescent="0.2"/>
  <cols>
    <col min="1" max="1" width="2.6640625" customWidth="1"/>
    <col min="2" max="2" width="6.5" customWidth="1"/>
    <col min="8" max="8" width="24.33203125" bestFit="1" customWidth="1"/>
    <col min="9" max="9" width="15.83203125" bestFit="1" customWidth="1"/>
  </cols>
  <sheetData>
    <row r="5" spans="2:10" ht="37" x14ac:dyDescent="0.45">
      <c r="B5" s="17" t="s">
        <v>323</v>
      </c>
      <c r="H5" s="17">
        <f>C̳álculos!C3</f>
        <v>295</v>
      </c>
      <c r="I5" s="20">
        <f>H5/295</f>
        <v>1</v>
      </c>
    </row>
    <row r="6" spans="2:10" ht="37" x14ac:dyDescent="0.45">
      <c r="B6" s="17" t="s">
        <v>324</v>
      </c>
      <c r="H6" s="18">
        <f>C̳álculos!C27</f>
        <v>7633</v>
      </c>
      <c r="I6" s="21">
        <f>H6/H5</f>
        <v>25.874576271186442</v>
      </c>
      <c r="J6" s="19" t="s">
        <v>329</v>
      </c>
    </row>
    <row r="8" spans="2:10" ht="29" x14ac:dyDescent="0.35">
      <c r="B8" s="19" t="s">
        <v>325</v>
      </c>
      <c r="I8" s="19" t="s">
        <v>327</v>
      </c>
    </row>
    <row r="16" spans="2:10" ht="29" x14ac:dyDescent="0.35">
      <c r="B16" s="19" t="s">
        <v>326</v>
      </c>
      <c r="I16" s="19" t="s">
        <v>328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Reviewer</cp:lastModifiedBy>
  <dcterms:created xsi:type="dcterms:W3CDTF">2024-12-19T13:13:10Z</dcterms:created>
  <dcterms:modified xsi:type="dcterms:W3CDTF">2025-12-23T01:06:02Z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